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sigt" sheetId="1" state="visible" r:id="rId3"/>
    <sheet name="Register" sheetId="2" state="visible" r:id="rId4"/>
    <sheet name="Afvigelser" sheetId="3" state="visible" r:id="rId5"/>
    <sheet name="Mangler" sheetId="4" state="visible" r:id="rId6"/>
    <sheet name="Fel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<sst xmlns="http://schemas.openxmlformats.org/spreadsheetml/2006/main" count="2666" uniqueCount="1208">
  <si>
    <t xml:space="preserve">Snublesten i Danmark – arbejdsregister</t>
  </si>
  <si>
    <t xml:space="preserve">Status pr. 24. okt. 2026. Tallene nedenfor tæller fra fanen Register og opdaterer sig, når du tilføjer rækker.</t>
  </si>
  <si>
    <t xml:space="preserve">Sten i alt</t>
  </si>
  <si>
    <t xml:space="preserve">Med koordinat</t>
  </si>
  <si>
    <t xml:space="preserve">Med dansk original-indskrift</t>
  </si>
  <si>
    <t xml:space="preserve">Med Wikidata-item</t>
  </si>
  <si>
    <t xml:space="preserve">Med OSM-node</t>
  </si>
  <si>
    <t xml:space="preserve">Skal verificeres / afvigelse</t>
  </si>
  <si>
    <t xml:space="preserve">Kommune</t>
  </si>
  <si>
    <t xml:space="preserve">Sten</t>
  </si>
  <si>
    <t xml:space="preserve">Ældste nedlæggelse</t>
  </si>
  <si>
    <t xml:space="preserve">Nyeste nedlæggelse</t>
  </si>
  <si>
    <t xml:space="preserve">Sat af</t>
  </si>
  <si>
    <t xml:space="preserve">København</t>
  </si>
  <si>
    <t xml:space="preserve">Snublesten Danmark</t>
  </si>
  <si>
    <t xml:space="preserve">Frederiksberg</t>
  </si>
  <si>
    <t xml:space="preserve">Snublesten Fyn</t>
  </si>
  <si>
    <t xml:space="preserve">Gentofte</t>
  </si>
  <si>
    <t xml:space="preserve">Historisk Forening Skærbæk (?)</t>
  </si>
  <si>
    <t xml:space="preserve">Odense</t>
  </si>
  <si>
    <t xml:space="preserve">Ukendt</t>
  </si>
  <si>
    <t xml:space="preserve">Nyborg</t>
  </si>
  <si>
    <t xml:space="preserve">Snublesten Fyn / Snublesten Danmark</t>
  </si>
  <si>
    <t xml:space="preserve">Kolding</t>
  </si>
  <si>
    <t xml:space="preserve">Randers</t>
  </si>
  <si>
    <t xml:space="preserve">Aarhus</t>
  </si>
  <si>
    <t xml:space="preserve">Lyngby-Taarbæk</t>
  </si>
  <si>
    <t xml:space="preserve">Vejle</t>
  </si>
  <si>
    <t xml:space="preserve">Tønder</t>
  </si>
  <si>
    <t xml:space="preserve">Svendborg</t>
  </si>
  <si>
    <t xml:space="preserve">Dragør</t>
  </si>
  <si>
    <t xml:space="preserve">Assens</t>
  </si>
  <si>
    <t xml:space="preserve">Vordingborg</t>
  </si>
  <si>
    <t xml:space="preserve">Gladsaxe</t>
  </si>
  <si>
    <t xml:space="preserve">Holbæk</t>
  </si>
  <si>
    <t xml:space="preserve">I alt</t>
  </si>
  <si>
    <t xml:space="preserve">ID</t>
  </si>
  <si>
    <t xml:space="preserve">Navn</t>
  </si>
  <si>
    <t xml:space="preserve">Født (år)</t>
  </si>
  <si>
    <t xml:space="preserve">Udfald</t>
  </si>
  <si>
    <t xml:space="preserve">Adresse</t>
  </si>
  <si>
    <t xml:space="preserve">Postnr</t>
  </si>
  <si>
    <t xml:space="preserve">By</t>
  </si>
  <si>
    <t xml:space="preserve">Bredde</t>
  </si>
  <si>
    <t xml:space="preserve">Længde</t>
  </si>
  <si>
    <t xml:space="preserve">Koordinat-kilde</t>
  </si>
  <si>
    <t xml:space="preserve">Nedlagt (år)</t>
  </si>
  <si>
    <t xml:space="preserve">Nedlagt (dato)</t>
  </si>
  <si>
    <t xml:space="preserve">Indskrift (dansk, original)</t>
  </si>
  <si>
    <t xml:space="preserve">Indskrift (tysk oversættelse, de.wikipedia)</t>
  </si>
  <si>
    <t xml:space="preserve">Primær kilde</t>
  </si>
  <si>
    <t xml:space="preserve">snublesten.dk-ID</t>
  </si>
  <si>
    <t xml:space="preserve">Wikidata</t>
  </si>
  <si>
    <t xml:space="preserve">OSM-node</t>
  </si>
  <si>
    <t xml:space="preserve">Commons-foto</t>
  </si>
  <si>
    <t xml:space="preserve">Status</t>
  </si>
  <si>
    <t xml:space="preserve">Note</t>
  </si>
  <si>
    <t xml:space="preserve">DK-0001</t>
  </si>
  <si>
    <t xml:space="preserve">Emma Augusta Hansen</t>
  </si>
  <si>
    <t xml:space="preserve">Vestergade 84</t>
  </si>
  <si>
    <t xml:space="preserve">8000</t>
  </si>
  <si>
    <t xml:space="preserve">Aarhus C</t>
  </si>
  <si>
    <t xml:space="preserve">snublesten.dk</t>
  </si>
  <si>
    <t xml:space="preserve">https://snublesten.dk/snublesten/emma-augusta-hansen/</t>
  </si>
  <si>
    <t xml:space="preserve">10946691693</t>
  </si>
  <si>
    <t xml:space="preserve">Fra gruppens egen liste</t>
  </si>
  <si>
    <t xml:space="preserve">Én OSM-node uden navn dækker familiens 4 sten</t>
  </si>
  <si>
    <t xml:space="preserve">DK-0002</t>
  </si>
  <si>
    <t xml:space="preserve">Ib Hansen</t>
  </si>
  <si>
    <t xml:space="preserve">https://snublesten.dk/snublesten/ib-hansen/</t>
  </si>
  <si>
    <t xml:space="preserve">DK-0003</t>
  </si>
  <si>
    <t xml:space="preserve">Preben Hansen</t>
  </si>
  <si>
    <t xml:space="preserve">https://snublesten.dk/snublesten/preben-hansen/</t>
  </si>
  <si>
    <t xml:space="preserve">DK-0004</t>
  </si>
  <si>
    <t xml:space="preserve">Thorvald Hansen</t>
  </si>
  <si>
    <t xml:space="preserve">https://snublesten.dk/snublesten/thorvald-hansen/</t>
  </si>
  <si>
    <t xml:space="preserve">DK-0005</t>
  </si>
  <si>
    <t xml:space="preserve">Julius Joseph Moritz</t>
  </si>
  <si>
    <t xml:space="preserve">Omkom</t>
  </si>
  <si>
    <t xml:space="preserve">Dommergården (adresse mangler)</t>
  </si>
  <si>
    <t xml:space="preserve">5610</t>
  </si>
  <si>
    <t xml:space="preserve">2022-06-08</t>
  </si>
  <si>
    <t xml:space="preserve">https://www.snublestenfyn.dk/snublesten-i-assens</t>
  </si>
  <si>
    <t xml:space="preserve">Fra gruppens egen side</t>
  </si>
  <si>
    <t xml:space="preserve">Dommer; døde i Theresienstadt 8.4.1945</t>
  </si>
  <si>
    <t xml:space="preserve">DK-0006</t>
  </si>
  <si>
    <t xml:space="preserve">Viggo Johannes Hansen</t>
  </si>
  <si>
    <t xml:space="preserve">Østergade 38</t>
  </si>
  <si>
    <t xml:space="preserve">Clearingmyrdet 19.4.1945</t>
  </si>
  <si>
    <t xml:space="preserve">DK-0007</t>
  </si>
  <si>
    <t xml:space="preserve">Jørgen Emil Thers</t>
  </si>
  <si>
    <t xml:space="preserve">Hovedgaden 34</t>
  </si>
  <si>
    <t xml:space="preserve">2791</t>
  </si>
  <si>
    <t xml:space="preserve">https://snublesten.dk/snublesten/joergen-emil-thers/</t>
  </si>
  <si>
    <t xml:space="preserve">DK-0008</t>
  </si>
  <si>
    <t xml:space="preserve">Ellen Wilhelmine Nielsen</t>
  </si>
  <si>
    <t xml:space="preserve">Rønne Allé 42</t>
  </si>
  <si>
    <t xml:space="preserve">2770</t>
  </si>
  <si>
    <t xml:space="preserve">https://snublesten.dk/snublesten/ellen-wilhelmine-nielsen/</t>
  </si>
  <si>
    <t xml:space="preserve">Afvigelse – tjek</t>
  </si>
  <si>
    <t xml:space="preserve">Postnr 2770 er Kastrup, men by angivet som Dragør (2791)</t>
  </si>
  <si>
    <t xml:space="preserve">DK-0009</t>
  </si>
  <si>
    <t xml:space="preserve">Gabrielle Salmonsen</t>
  </si>
  <si>
    <t xml:space="preserve">Bianco Lunos Allé 1</t>
  </si>
  <si>
    <t xml:space="preserve">1868</t>
  </si>
  <si>
    <t xml:space="preserve">Frederiksberg C</t>
  </si>
  <si>
    <t xml:space="preserve">HIER WOHNTE / GABRIELLE / SALMONSEN / GEB. HEIMANN 1855 / VERHAFTET 2.10.1943 / DEPORTIERT 1943 / THERESIENSTADT / UMGEKOMMEN 10.2.1944</t>
  </si>
  <si>
    <t xml:space="preserve">https://snublesten.dk/snublesten/gabrielle-salmonsen/</t>
  </si>
  <si>
    <t xml:space="preserve">Stolperstein für Gabrielle Salmonsen (Frederiksberg).jpg</t>
  </si>
  <si>
    <t xml:space="preserve">DK-0010</t>
  </si>
  <si>
    <t xml:space="preserve">Jacob Thalmay</t>
  </si>
  <si>
    <t xml:space="preserve">Carl Plougsvej 7</t>
  </si>
  <si>
    <t xml:space="preserve">1913</t>
  </si>
  <si>
    <t xml:space="preserve">HIER WOHNTE / JACOB THALMAY / GEBOREN 1904 / DEPORTIERT 1944 / SACHSENHAUSEN / AUSCHWITZ / UMGEKOMMEN 9.3.1945 / TODESMARSCH NACH MELK</t>
  </si>
  <si>
    <t xml:space="preserve">https://snublesten.dk/snublesten/jacob-thalmay/</t>
  </si>
  <si>
    <t xml:space="preserve">Q64691522</t>
  </si>
  <si>
    <t xml:space="preserve">Stolperstein für Jacob Thalmay (Frederiksberg).jpg</t>
  </si>
  <si>
    <t xml:space="preserve">DK-0011</t>
  </si>
  <si>
    <t xml:space="preserve">"Jeanne" Johanne Nathansen</t>
  </si>
  <si>
    <t xml:space="preserve">Drosselvej 6</t>
  </si>
  <si>
    <t xml:space="preserve">2000</t>
  </si>
  <si>
    <t xml:space="preserve">https://snublesten.dk/snublesten/jeanne-johanne-nathansen/</t>
  </si>
  <si>
    <t xml:space="preserve">DK-0012</t>
  </si>
  <si>
    <t xml:space="preserve">Henri Nathansen</t>
  </si>
  <si>
    <t xml:space="preserve">https://snublesten.dk/snublesten/henri-nathansen/</t>
  </si>
  <si>
    <t xml:space="preserve">DK-0013</t>
  </si>
  <si>
    <t xml:space="preserve">Elieser Cipikoff</t>
  </si>
  <si>
    <t xml:space="preserve">Falkoner Allé 38</t>
  </si>
  <si>
    <t xml:space="preserve">https://snublesten.dk/snublesten/elieser-cipikoff/</t>
  </si>
  <si>
    <t xml:space="preserve">DK-0014</t>
  </si>
  <si>
    <t xml:space="preserve">Nechama Lea Cipikoff</t>
  </si>
  <si>
    <t xml:space="preserve">https://snublesten.dk/snublesten/nechama-lea-cipikoff/</t>
  </si>
  <si>
    <t xml:space="preserve">DK-0015</t>
  </si>
  <si>
    <t xml:space="preserve">Noah Abraham Cipikoff</t>
  </si>
  <si>
    <t xml:space="preserve">https://snublesten.dk/snublesten/noah-abraham-cipikoff/</t>
  </si>
  <si>
    <t xml:space="preserve">DK-0016</t>
  </si>
  <si>
    <t xml:space="preserve">Carl Joseph Glückstadt</t>
  </si>
  <si>
    <t xml:space="preserve">Forchhammersvej 5</t>
  </si>
  <si>
    <t xml:space="preserve">1920</t>
  </si>
  <si>
    <t xml:space="preserve">HIER WOHNTE / CARL JOSEPH / GLÜCKSTADT / GEBOREN 1882 / VERHAFTET 1943 / DEPORTIERT / THERESIENSTADT / UMGEKOMMEN 15.11.1943</t>
  </si>
  <si>
    <t xml:space="preserve">https://snublesten.dk/snublesten/carl-joseph-gluckstadt/</t>
  </si>
  <si>
    <t xml:space="preserve">Stolperstein für Carl Joseph Glückstadt (Frederiksberg).jpg</t>
  </si>
  <si>
    <t xml:space="preserve">DK-0017</t>
  </si>
  <si>
    <t xml:space="preserve">Olga Johanne Glückstadt</t>
  </si>
  <si>
    <t xml:space="preserve">https://snublesten.dk/snublesten/olga-johanne-gluckstadt/</t>
  </si>
  <si>
    <t xml:space="preserve">DK-0018</t>
  </si>
  <si>
    <t xml:space="preserve">Max Hartwig</t>
  </si>
  <si>
    <t xml:space="preserve">Overlevede</t>
  </si>
  <si>
    <t xml:space="preserve">Frydendalsvej 33</t>
  </si>
  <si>
    <t xml:space="preserve">1809</t>
  </si>
  <si>
    <t xml:space="preserve">HIER WOHNTE / MAX HARTWIG / 'GUBBEN' / GEBOREN 1867 / VERHAFTET 1.10.1943 / DEPORTIERT 1943 / THERESIENSTADT / BEFREIT</t>
  </si>
  <si>
    <t xml:space="preserve">https://snublesten.dk/snublesten/max-hartwig/</t>
  </si>
  <si>
    <t xml:space="preserve">Stolperstein für Max Hartwig (Frederiksberg).jpg</t>
  </si>
  <si>
    <t xml:space="preserve">DK-0019</t>
  </si>
  <si>
    <t xml:space="preserve">Rose Hartwig</t>
  </si>
  <si>
    <t xml:space="preserve">HIER WOHNTE / ROSE HARTWIG / GEB. SALOMON 1880 / VERHAFTET 1.10.1943 / DEPORTIERT 1943 / THERESIENSTADT / ERMORDET 25.2.1944</t>
  </si>
  <si>
    <t xml:space="preserve">https://snublesten.dk/snublesten/rose-hartwig/</t>
  </si>
  <si>
    <t xml:space="preserve">Stolperstein für Rose Hartwig (Frederiksberg).jpg</t>
  </si>
  <si>
    <t xml:space="preserve">DK-0020</t>
  </si>
  <si>
    <t xml:space="preserve">Johanne Caroline Gray</t>
  </si>
  <si>
    <t xml:space="preserve">Godthåbsvej 131</t>
  </si>
  <si>
    <t xml:space="preserve">https://snublesten.dk/snublesten/johanne-caroline-gray/</t>
  </si>
  <si>
    <t xml:space="preserve">DK-0021</t>
  </si>
  <si>
    <t xml:space="preserve">Ada Elvira Bomhoff</t>
  </si>
  <si>
    <t xml:space="preserve">Harsdorffsvej 7</t>
  </si>
  <si>
    <t xml:space="preserve">1874</t>
  </si>
  <si>
    <t xml:space="preserve">HIER WOHNTE / ADA ELVIRA / BOMHOFF / GEB. ALS REICHMANN 1892 / UNTERSTÜTZTE DIE / WIDERSTANDSBEWEGUNG / VERHAFTET 4.9.1944 / INTERNIERUNGSLAGER FRØSLEV / BEFREIT</t>
  </si>
  <si>
    <t xml:space="preserve">https://snublesten.dk/snublesten/ada-elvira-bomhoff/</t>
  </si>
  <si>
    <t xml:space="preserve">Stolperstein für Ada Elvira Bomhoff (Frederiksberg).jpg</t>
  </si>
  <si>
    <t xml:space="preserve">DK-0022</t>
  </si>
  <si>
    <t xml:space="preserve">Gunnar Johan Bomhoff</t>
  </si>
  <si>
    <t xml:space="preserve">HIER WOHNTE / GUNNAR JOHAN / BOMHOFF / GEB. 1887 / VERHAFTET 18.10.1944 / DEPORTIERT 1945 / DACHAU / ERMORDET 13.4.1945 / NEUENGAMME</t>
  </si>
  <si>
    <t xml:space="preserve">https://snublesten.dk/snublesten/gunnar-johan-bomhoff/</t>
  </si>
  <si>
    <t xml:space="preserve">Stolperstein für Gunnar Johan Bomhoff (Frederiksberg).jpg</t>
  </si>
  <si>
    <t xml:space="preserve">DK-0023</t>
  </si>
  <si>
    <t xml:space="preserve">Sam Besekow</t>
  </si>
  <si>
    <t xml:space="preserve">Hollændervej 11</t>
  </si>
  <si>
    <t xml:space="preserve">1855</t>
  </si>
  <si>
    <t xml:space="preserve">HIER WOHNTE / SAMUEL 'SAM' / BESEKOW / GEBOREN 1911 / VERHAFTET 29.8.1943 / INTERNIERT IN HORSERØD / FREIGELASSEN 15.10.1943 / FLUCHT NACH SCHWEDEN / 22.10.1943</t>
  </si>
  <si>
    <t xml:space="preserve">https://snublesten.dk/snublesten/samuel-besekow/</t>
  </si>
  <si>
    <t xml:space="preserve">Stolperstein für Samuel Besekow (Frederiksberg).jpg</t>
  </si>
  <si>
    <t xml:space="preserve">DK-0024</t>
  </si>
  <si>
    <t xml:space="preserve">Frants Aleks Karl Sundstrøm</t>
  </si>
  <si>
    <t xml:space="preserve">Howitzvej 30</t>
  </si>
  <si>
    <t xml:space="preserve">https://snublesten.dk/snublesten/frants-aleks-carl-sundstroem/</t>
  </si>
  <si>
    <t xml:space="preserve">Tidl. politistation</t>
  </si>
  <si>
    <t xml:space="preserve">DK-0025</t>
  </si>
  <si>
    <t xml:space="preserve">Bernhard Schermeister</t>
  </si>
  <si>
    <t xml:space="preserve">J.M. Thielesvej 1A</t>
  </si>
  <si>
    <t xml:space="preserve">1961</t>
  </si>
  <si>
    <t xml:space="preserve">https://snublesten.dk/snublesten/bernhard-schermeister/</t>
  </si>
  <si>
    <t xml:space="preserve">DK-0026</t>
  </si>
  <si>
    <t xml:space="preserve">Edith Schermeister</t>
  </si>
  <si>
    <t xml:space="preserve">https://snublesten.dk/snublesten/edith-schermeister/</t>
  </si>
  <si>
    <t xml:space="preserve">DK-0027</t>
  </si>
  <si>
    <t xml:space="preserve">Inge Schermeister</t>
  </si>
  <si>
    <t xml:space="preserve">https://snublesten.dk/snublesten/inge-schermeister/</t>
  </si>
  <si>
    <t xml:space="preserve">DK-0028</t>
  </si>
  <si>
    <t xml:space="preserve">Jeanne Schermeister</t>
  </si>
  <si>
    <t xml:space="preserve">https://snublesten.dk/snublesten/jeanne-schermeister/</t>
  </si>
  <si>
    <t xml:space="preserve">DK-0029</t>
  </si>
  <si>
    <t xml:space="preserve">Lis Schermeister</t>
  </si>
  <si>
    <t xml:space="preserve">https://snublesten.dk/snublesten/lis-schermeister/</t>
  </si>
  <si>
    <t xml:space="preserve">DK-0030</t>
  </si>
  <si>
    <t xml:space="preserve">Jonas Bornstein</t>
  </si>
  <si>
    <t xml:space="preserve">Julius Thomsens Plads 2</t>
  </si>
  <si>
    <t xml:space="preserve">1925</t>
  </si>
  <si>
    <t xml:space="preserve">https://snublesten.dk/snublesten/jonas-bornstein/</t>
  </si>
  <si>
    <t xml:space="preserve">DK-0031</t>
  </si>
  <si>
    <t xml:space="preserve">Jytte Bornstein</t>
  </si>
  <si>
    <t xml:space="preserve">https://snublesten.dk/snublesten/jytte-bornstein/</t>
  </si>
  <si>
    <t xml:space="preserve">DK-0032</t>
  </si>
  <si>
    <t xml:space="preserve">Lilly Bornstein</t>
  </si>
  <si>
    <t xml:space="preserve">https://snublesten.dk/snublesten/lilly-bornstein/</t>
  </si>
  <si>
    <t xml:space="preserve">DK-0033</t>
  </si>
  <si>
    <t xml:space="preserve">Preben Bornstein</t>
  </si>
  <si>
    <t xml:space="preserve">https://snublesten.dk/snublesten/preben-bornstein/</t>
  </si>
  <si>
    <t xml:space="preserve">DK-0034</t>
  </si>
  <si>
    <t xml:space="preserve">Kai Adolf Levin</t>
  </si>
  <si>
    <t xml:space="preserve">Madvigs Allé 9</t>
  </si>
  <si>
    <t xml:space="preserve">1829</t>
  </si>
  <si>
    <t xml:space="preserve">https://snublesten.dk/snublesten/kai-levin/</t>
  </si>
  <si>
    <t xml:space="preserve">DK-0035</t>
  </si>
  <si>
    <t xml:space="preserve">Zerline Levin</t>
  </si>
  <si>
    <t xml:space="preserve">https://snublesten.dk/snublesten/zerline-levin/</t>
  </si>
  <si>
    <t xml:space="preserve">DK-0036</t>
  </si>
  <si>
    <t xml:space="preserve">Irma Hertz</t>
  </si>
  <si>
    <t xml:space="preserve">Vodroffslund 3</t>
  </si>
  <si>
    <t xml:space="preserve">1419</t>
  </si>
  <si>
    <t xml:space="preserve">HIER WOHNTE / IRMA HERTZ / GEB. ALS LEVY 1878 / VERHAFTET 7.10.1943 / DEPORTIERT / THERESIENSTADT / UMGEKOMMEN 21.12.1943</t>
  </si>
  <si>
    <t xml:space="preserve">https://snublesten.dk/snublesten/irma-hertz/</t>
  </si>
  <si>
    <t xml:space="preserve">Stolperstein für Irma Hertz (Frederiksberg).jpg</t>
  </si>
  <si>
    <t xml:space="preserve">de.wikipedia angiver adresse 'Vordruffslund 3'</t>
  </si>
  <si>
    <t xml:space="preserve">DK-0037</t>
  </si>
  <si>
    <t xml:space="preserve">Hugo Wulff</t>
  </si>
  <si>
    <t xml:space="preserve">Ahlmanns Allé 2</t>
  </si>
  <si>
    <t xml:space="preserve">2900</t>
  </si>
  <si>
    <t xml:space="preserve">Hellerup</t>
  </si>
  <si>
    <t xml:space="preserve">https://snublesten.dk/snublesten/hugo-wulff/</t>
  </si>
  <si>
    <t xml:space="preserve">DK-0038</t>
  </si>
  <si>
    <t xml:space="preserve">Rose Wulff</t>
  </si>
  <si>
    <t xml:space="preserve">HIER WOHNTE / ROSE WULFF / GEBOREN 1878 ALS SALOMONSEN / VERHAFTET 1.10.1943 / DEPORTIERT 1943 / THERESIENSTADT / ERMORDET 7.2.1944</t>
  </si>
  <si>
    <t xml:space="preserve">https://snublesten.dk/snublesten/rose-wulff/</t>
  </si>
  <si>
    <t xml:space="preserve">Stolperstein für Rose Wulff (Gentofte).jpg</t>
  </si>
  <si>
    <t xml:space="preserve">DK-0039</t>
  </si>
  <si>
    <t xml:space="preserve">Anna Bär</t>
  </si>
  <si>
    <t xml:space="preserve">Frugtparken 6</t>
  </si>
  <si>
    <t xml:space="preserve">2820</t>
  </si>
  <si>
    <t xml:space="preserve">https://snublesten.dk/snublesten/anna-bar/</t>
  </si>
  <si>
    <t xml:space="preserve">DK-0040</t>
  </si>
  <si>
    <t xml:space="preserve">Simon Titus Bär</t>
  </si>
  <si>
    <t xml:space="preserve">https://snublesten.dk/snublesten/simon-titus-bar/</t>
  </si>
  <si>
    <t xml:space="preserve">DK-0041</t>
  </si>
  <si>
    <t xml:space="preserve">Kaj James Cordosa Nagler</t>
  </si>
  <si>
    <t xml:space="preserve">Gentoftegade 4</t>
  </si>
  <si>
    <t xml:space="preserve">HIER WOHNTE / KAJ JAMES / CORDOSA NAGLER / GEBOREN 1895 / VERHAFTET 2.10.1943 / DEPORTIERT 1943 / THERESIENSTADT / BEFREIT</t>
  </si>
  <si>
    <t xml:space="preserve">https://snublesten.dk/snublesten/kaj-james-cordosa-nagler/</t>
  </si>
  <si>
    <t xml:space="preserve">Stolperstein für Kaj James Cordosa Nagler (Gentofte).jpg</t>
  </si>
  <si>
    <t xml:space="preserve">DK-0042</t>
  </si>
  <si>
    <t xml:space="preserve">Arne Jacobsen</t>
  </si>
  <si>
    <t xml:space="preserve">Gotfred Rodes Vej 2</t>
  </si>
  <si>
    <t xml:space="preserve">2920</t>
  </si>
  <si>
    <t xml:space="preserve">Charlottenlund</t>
  </si>
  <si>
    <t xml:space="preserve">https://snublesten.dk/snublesten/arne-jacobsen/</t>
  </si>
  <si>
    <t xml:space="preserve">DK-0043</t>
  </si>
  <si>
    <t xml:space="preserve">Tage Fox Maule</t>
  </si>
  <si>
    <t xml:space="preserve">Henning Bojesens Vej 2</t>
  </si>
  <si>
    <t xml:space="preserve">https://snublesten.dk/snublesten/tage-fox-maule/</t>
  </si>
  <si>
    <t xml:space="preserve">DK-0044</t>
  </si>
  <si>
    <t xml:space="preserve">Niels Haae Laub</t>
  </si>
  <si>
    <t xml:space="preserve">Henningsens Allé 19</t>
  </si>
  <si>
    <t xml:space="preserve">HIER WOHNTE / NIELS HAAE LAUB / GEBOREN 1924 / VERHAFTET 14.10.1944 / GEFÄNGNIS VESTRE / DEPORTIERT 1945 / NEUENGAMME / DESSAUER UFER / BULLENHUSER DAMM / ERMORDET 28.3.1945</t>
  </si>
  <si>
    <t xml:space="preserve">https://snublesten.dk/snublesten/niels-haae-laub/</t>
  </si>
  <si>
    <t xml:space="preserve">Stolperstein für Niels Haae Laub (Gentofte).jpg</t>
  </si>
  <si>
    <t xml:space="preserve">DK-0045</t>
  </si>
  <si>
    <t xml:space="preserve">Wilhelm Haae Laub</t>
  </si>
  <si>
    <t xml:space="preserve">HIER WOHNTE / WILHELM / HAAE LAUB / GEBOREN 1887 / WIDERSTANDSKÄMPFER / ERSCHOSSEN IN SEINEM HAUS / 16.2.1945</t>
  </si>
  <si>
    <t xml:space="preserve">https://snublesten.dk/snublesten/wilhelm-haae-laub/</t>
  </si>
  <si>
    <t xml:space="preserve">Stolperstein für Wilhelm Haae Laub (Gentofte).jpg</t>
  </si>
  <si>
    <t xml:space="preserve">DK-0046</t>
  </si>
  <si>
    <t xml:space="preserve">Alex Eisenberg</t>
  </si>
  <si>
    <t xml:space="preserve">Heslegårdsvej 45</t>
  </si>
  <si>
    <t xml:space="preserve">https://snublesten.dk/snublesten/alex-eisenberg/</t>
  </si>
  <si>
    <t xml:space="preserve">DK-0047</t>
  </si>
  <si>
    <t xml:space="preserve">Alfred Heymann</t>
  </si>
  <si>
    <t xml:space="preserve">Lille Strandvej 18B</t>
  </si>
  <si>
    <t xml:space="preserve">HIER WOHNTE / ALFRED HEYMANN / GEBOREN 1856 / VERHAFTET 1.10.1943 / DEPORTIERT 1943 / THERESIENSTADT / ERMORDET 21.5.1944</t>
  </si>
  <si>
    <t xml:space="preserve">https://snublesten.dk/snublesten/alfred-heymann/</t>
  </si>
  <si>
    <t xml:space="preserve">Stolperstein für Alfred Heymann (Gentofte).jpg</t>
  </si>
  <si>
    <t xml:space="preserve">DK-0048</t>
  </si>
  <si>
    <t xml:space="preserve">Lilian Cipikoff</t>
  </si>
  <si>
    <t xml:space="preserve">Mosegårdsvej 134</t>
  </si>
  <si>
    <t xml:space="preserve">https://snublesten.dk/snublesten/lilian-cipikoff/</t>
  </si>
  <si>
    <t xml:space="preserve">DK-0049</t>
  </si>
  <si>
    <t xml:space="preserve">Martin Cipikoff</t>
  </si>
  <si>
    <t xml:space="preserve">https://snublesten.dk/snublesten/martin-cipikoff/</t>
  </si>
  <si>
    <t xml:space="preserve">DK-0050</t>
  </si>
  <si>
    <t xml:space="preserve">Preben Cipikoff</t>
  </si>
  <si>
    <t xml:space="preserve">https://snublesten.dk/snublesten/preben-cipikoff/</t>
  </si>
  <si>
    <t xml:space="preserve">DK-0051</t>
  </si>
  <si>
    <t xml:space="preserve">Sara Cipikoff</t>
  </si>
  <si>
    <t xml:space="preserve">https://snublesten.dk/snublesten/sara-cipikoff/</t>
  </si>
  <si>
    <t xml:space="preserve">DK-0052</t>
  </si>
  <si>
    <t xml:space="preserve">Arnold Valdemar Skaade</t>
  </si>
  <si>
    <t xml:space="preserve">Mosegårdsvej 144</t>
  </si>
  <si>
    <t xml:space="preserve">https://snublesten.dk/snublesten/arnold-valdemar-skaade/</t>
  </si>
  <si>
    <t xml:space="preserve">DK-0053</t>
  </si>
  <si>
    <t xml:space="preserve">Emil Valdemar Abrahamson</t>
  </si>
  <si>
    <t xml:space="preserve">Strandvejen 191</t>
  </si>
  <si>
    <t xml:space="preserve">HIER WOHNTE / EMIL VALDEMR / ABRAHAMSON / GEBOREN 1867 / VERHAFTET 1.10.1943 / DEPORTIERT / THERESIENSTADT / ERMORDET 15.10.1943</t>
  </si>
  <si>
    <t xml:space="preserve">https://snublesten.dk/snublesten/emil-valdemar-abrahamson/</t>
  </si>
  <si>
    <t xml:space="preserve">Stolperstein für Emil Valdemar Abrahamson (Gentofte).jpg</t>
  </si>
  <si>
    <t xml:space="preserve">Indskrift ifølge de.wikipedia: 'EMIL VALDEMR' – stavefejl på stenen?</t>
  </si>
  <si>
    <t xml:space="preserve">DK-0054</t>
  </si>
  <si>
    <t xml:space="preserve">Alexander Benny Cordosa</t>
  </si>
  <si>
    <t xml:space="preserve">Sundvej 6</t>
  </si>
  <si>
    <t xml:space="preserve">HIER WOHNTE / ALEXANDER BENNY / CORDOSA / GEBOREN 1863 / VERHAFTET 2.10.1943 / DEPORTIERT / THERESIENSTADT / ERMORDET 13.11.1943</t>
  </si>
  <si>
    <t xml:space="preserve">https://snublesten.dk/snublesten/alexander-cordosa/</t>
  </si>
  <si>
    <t xml:space="preserve">Stolperstein für Alexander Benny Cordosa (Gentofte).jpg</t>
  </si>
  <si>
    <t xml:space="preserve">DK-0055</t>
  </si>
  <si>
    <t xml:space="preserve">Regitze Cordosa</t>
  </si>
  <si>
    <t xml:space="preserve">HIER WOHNTE / REGITZE CORDOSA / GEBOREN 1863 / VERHAFTET 2.10.1943 / DEPORTIERT / THERESIENSTADT / ERMORDET 20.10.1943</t>
  </si>
  <si>
    <t xml:space="preserve">https://snublesten.dk/snublesten/regitze-cordosa/</t>
  </si>
  <si>
    <t xml:space="preserve">Stolperstein für Regitze Cordosa (Gentofte).jpg</t>
  </si>
  <si>
    <t xml:space="preserve">DK-0056</t>
  </si>
  <si>
    <t xml:space="preserve">Willie William Levysohn</t>
  </si>
  <si>
    <t xml:space="preserve">Sølystparken 1</t>
  </si>
  <si>
    <t xml:space="preserve">HIER WOHNTE / WILLIE WILLIAM / LEVYSOHN / GEBOREN 1889 / VERHAFTET 29.8.1943 / DEPORTIERT 1943 / THERESIENSTADT / UMGEKOMMEN 16.3.1944</t>
  </si>
  <si>
    <t xml:space="preserve">https://snublesten.dk/snublesten/willie-william-levysohn/</t>
  </si>
  <si>
    <t xml:space="preserve">Stolperstein für Willie William Levysohn (Gentofte).jpg</t>
  </si>
  <si>
    <t xml:space="preserve">DK-0057</t>
  </si>
  <si>
    <t xml:space="preserve">Lily Henriette Pfiffer-Madsen</t>
  </si>
  <si>
    <t xml:space="preserve">Wernersvej 8</t>
  </si>
  <si>
    <t xml:space="preserve">https://snublesten.dk/snublesten/lily-henriette-pfiffer-madsen/</t>
  </si>
  <si>
    <t xml:space="preserve">DK-0058</t>
  </si>
  <si>
    <t xml:space="preserve">Rena Pfiffer-Madsen</t>
  </si>
  <si>
    <t xml:space="preserve">https://snublesten.dk/snublesten/rena-pfiffer-madsen/</t>
  </si>
  <si>
    <t xml:space="preserve">DK-0059</t>
  </si>
  <si>
    <t xml:space="preserve">Chaim Leiser Altermann</t>
  </si>
  <si>
    <t xml:space="preserve">Runebergs Allé 55-57</t>
  </si>
  <si>
    <t xml:space="preserve">2860</t>
  </si>
  <si>
    <t xml:space="preserve">Søborg</t>
  </si>
  <si>
    <t xml:space="preserve">https://snublesten.dk/snublesten/chaim-leiser-altermann/</t>
  </si>
  <si>
    <t xml:space="preserve">DK-0060</t>
  </si>
  <si>
    <t xml:space="preserve">Poul Villy Christensen</t>
  </si>
  <si>
    <t xml:space="preserve">Borchsvej 3</t>
  </si>
  <si>
    <t xml:space="preserve">4300</t>
  </si>
  <si>
    <t xml:space="preserve">https://snublesten.dk/snublesten/poul-villy-christensen/</t>
  </si>
  <si>
    <t xml:space="preserve">DK-0061</t>
  </si>
  <si>
    <t xml:space="preserve">Karinus Johannes Felsted</t>
  </si>
  <si>
    <t xml:space="preserve">Agtrupvej 1</t>
  </si>
  <si>
    <t xml:space="preserve">6000</t>
  </si>
  <si>
    <t xml:space="preserve">https://snublesten.dk/snublesten/karinus-felsted-modstandsmand/</t>
  </si>
  <si>
    <t xml:space="preserve">DK-0062</t>
  </si>
  <si>
    <t xml:space="preserve">Kai Ibsen</t>
  </si>
  <si>
    <t xml:space="preserve">Clemensgade 1</t>
  </si>
  <si>
    <t xml:space="preserve">https://snublesten.dk/snublesten/kai-ibsen-kommunist-og-modstandsmand/</t>
  </si>
  <si>
    <t xml:space="preserve">DK-0063</t>
  </si>
  <si>
    <t xml:space="preserve">Jørgen Kelstrup</t>
  </si>
  <si>
    <t xml:space="preserve">Haderslevvej 25</t>
  </si>
  <si>
    <t xml:space="preserve">https://snublesten.dk/snublesten/jorgen-kelstrup-modstandsmand/</t>
  </si>
  <si>
    <t xml:space="preserve">DK-0064</t>
  </si>
  <si>
    <t xml:space="preserve">Poul Seidenfaden</t>
  </si>
  <si>
    <t xml:space="preserve">https://snublesten.dk/snublesten/poul-seidenfaden/</t>
  </si>
  <si>
    <t xml:space="preserve">DK-0065</t>
  </si>
  <si>
    <t xml:space="preserve">Alice Henriette Dinesen</t>
  </si>
  <si>
    <t xml:space="preserve">Hjelmsvej 11</t>
  </si>
  <si>
    <t xml:space="preserve">https://snublesten.dk/snublesten/alice-henriette-dinesen/</t>
  </si>
  <si>
    <t xml:space="preserve">DK-0066</t>
  </si>
  <si>
    <t xml:space="preserve">Emma Heilbrun</t>
  </si>
  <si>
    <t xml:space="preserve">Arendalsgade 3</t>
  </si>
  <si>
    <t xml:space="preserve">2100</t>
  </si>
  <si>
    <t xml:space="preserve">København Ø</t>
  </si>
  <si>
    <t xml:space="preserve">https://snublesten.dk/snublesten/emma-heilbrun/</t>
  </si>
  <si>
    <t xml:space="preserve">DK-0067</t>
  </si>
  <si>
    <t xml:space="preserve">Lauritz Nielsen Ferslev</t>
  </si>
  <si>
    <t xml:space="preserve">Artillerivej 55</t>
  </si>
  <si>
    <t xml:space="preserve">2300</t>
  </si>
  <si>
    <t xml:space="preserve">København S</t>
  </si>
  <si>
    <t xml:space="preserve">https://snublesten.dk/snublesten/lauritz-nielsen-ferslev/</t>
  </si>
  <si>
    <t xml:space="preserve">DK-0068</t>
  </si>
  <si>
    <t xml:space="preserve">Gerda von Essen</t>
  </si>
  <si>
    <t xml:space="preserve">Bartholinsgade 1</t>
  </si>
  <si>
    <t xml:space="preserve">1356</t>
  </si>
  <si>
    <t xml:space="preserve">København K</t>
  </si>
  <si>
    <t xml:space="preserve">HIER WOHNTE / GERDA VON ESSEN / GEB. ALS NATHANSEN 1856 / VERHAFTET 1.10.1943 / DEPORTIERT 1943 / THERESIENSTADT / ERMORDET 28.1.1944</t>
  </si>
  <si>
    <t xml:space="preserve">https://snublesten.dk/snublesten/gerda-von-essen/</t>
  </si>
  <si>
    <t xml:space="preserve">Stolperstein für Gerda von Essen (Kopenhagen).jpg</t>
  </si>
  <si>
    <t xml:space="preserve">DK-0069</t>
  </si>
  <si>
    <t xml:space="preserve">Niels Bohr</t>
  </si>
  <si>
    <t xml:space="preserve">Blegdamsvej 17</t>
  </si>
  <si>
    <t xml:space="preserve">https://snublesten.dk/snublesten/niels-bohr/</t>
  </si>
  <si>
    <t xml:space="preserve">DK-0070</t>
  </si>
  <si>
    <t xml:space="preserve">Holger Koppel</t>
  </si>
  <si>
    <t xml:space="preserve">Bogholder Allé 68</t>
  </si>
  <si>
    <t xml:space="preserve">2720</t>
  </si>
  <si>
    <t xml:space="preserve">Vanløse</t>
  </si>
  <si>
    <t xml:space="preserve">https://snublesten.dk/snublesten/holger-koppel/</t>
  </si>
  <si>
    <t xml:space="preserve">DK-0071</t>
  </si>
  <si>
    <t xml:space="preserve">Morris Sophus Koppel</t>
  </si>
  <si>
    <t xml:space="preserve">https://snublesten.dk/snublesten/morris-sophus-koppel/</t>
  </si>
  <si>
    <t xml:space="preserve">DK-0072</t>
  </si>
  <si>
    <t xml:space="preserve">Nissine Cecilie Koppel</t>
  </si>
  <si>
    <t xml:space="preserve">https://snublesten.dk/snublesten/nissine-cecilie-koppel/</t>
  </si>
  <si>
    <t xml:space="preserve">DK-0073</t>
  </si>
  <si>
    <t xml:space="preserve">Adolf Anté Fischermann</t>
  </si>
  <si>
    <t xml:space="preserve">Bogtrykkervej 43</t>
  </si>
  <si>
    <t xml:space="preserve">2400</t>
  </si>
  <si>
    <t xml:space="preserve">København NV</t>
  </si>
  <si>
    <t xml:space="preserve">HIER WOHNTE / ADOLF ANTÉ / FISCHERMANN / GEBOREN 1925 / ERTRUNKEN AUF DER / FLUCHT NACH SCHWEDEN / 8.10.1943</t>
  </si>
  <si>
    <t xml:space="preserve">https://snublesten.dk/snublesten/adolf-ante-fischermann/</t>
  </si>
  <si>
    <t xml:space="preserve">Stolperstein für Adolf Anté Fischermann (Kopenhagen).jpg</t>
  </si>
  <si>
    <t xml:space="preserve">DK-0074</t>
  </si>
  <si>
    <t xml:space="preserve">Elias Leopold Fischermann</t>
  </si>
  <si>
    <t xml:space="preserve">HIER WOHNTE / ELIAS LEOPOLD / FISCHERMANN / GEBOREN 1894 / ERTRUNKEN AUF DER / FLUCHT NACH SCHWEDEN / 8.10.1943</t>
  </si>
  <si>
    <t xml:space="preserve">https://snublesten.dk/snublesten/elias-leopold-fischermann/</t>
  </si>
  <si>
    <t xml:space="preserve">Stolperstein für Elias Leopold Fischermann (Kopenhagen).jpg</t>
  </si>
  <si>
    <t xml:space="preserve">DK-0075</t>
  </si>
  <si>
    <t xml:space="preserve">Martha Fischermann</t>
  </si>
  <si>
    <t xml:space="preserve">HIER WOHNTE / MARTHA / FISCHERMANN / GEB. ALS WIGOTSKA 1896 / VERHAFTET 2.10.1943 / DEPORTIERT 1943 / THERESIENSTADT / BEFREIT</t>
  </si>
  <si>
    <t xml:space="preserve">https://snublesten.dk/snublesten/martha-fischermann/</t>
  </si>
  <si>
    <t xml:space="preserve">Stolperstein für Martha Fischermann (Kopenhagen).jpg</t>
  </si>
  <si>
    <t xml:space="preserve">DK-0076</t>
  </si>
  <si>
    <t xml:space="preserve">Ellen Hertz</t>
  </si>
  <si>
    <t xml:space="preserve">Borgmester Jensens Allé 9</t>
  </si>
  <si>
    <t xml:space="preserve">https://snublesten.dk/snublesten/ellen-hertz/</t>
  </si>
  <si>
    <t xml:space="preserve">DK-0077</t>
  </si>
  <si>
    <t xml:space="preserve">Liselotte Schlachcis</t>
  </si>
  <si>
    <t xml:space="preserve">Borgmestervangen 4A</t>
  </si>
  <si>
    <t xml:space="preserve">2200</t>
  </si>
  <si>
    <t xml:space="preserve">København N</t>
  </si>
  <si>
    <t xml:space="preserve">HIER WOHNTE / LISELOTTE / SCHLACHCIS / GEBOREN 1910 / VERHAFTET 27.6.1941 / ABGESCHOBEN NACH DEUTSCHLAND / 3.8.1941 / ERMORDET 30.1.1943 / AUSCHWITZ</t>
  </si>
  <si>
    <t xml:space="preserve">https://snublesten.dk/snublesten/liselotte-schlachcis/</t>
  </si>
  <si>
    <t xml:space="preserve">Q64691540</t>
  </si>
  <si>
    <t xml:space="preserve">Stolperstein für Liselotte Schlachcis (Kopenhagen).jpg</t>
  </si>
  <si>
    <t xml:space="preserve">DK-0078</t>
  </si>
  <si>
    <t xml:space="preserve">Ernst Platzko</t>
  </si>
  <si>
    <t xml:space="preserve">Bredgade 3</t>
  </si>
  <si>
    <t xml:space="preserve">1260</t>
  </si>
  <si>
    <t xml:space="preserve">HIER WOHNTE / ERNST PLATZKO / GEBOREN 1882 / VERHAFTET 17.9.1940 / ABGESCHOBEN NACH DEUTSCHLAND / 18.9.1940 / SACHSENHAUSEN / ERMORDET 16.10.1942</t>
  </si>
  <si>
    <t xml:space="preserve">https://snublesten.dk/snublesten/ernst-platzko/</t>
  </si>
  <si>
    <t xml:space="preserve">Q64691631</t>
  </si>
  <si>
    <t xml:space="preserve">13137562973 (?)</t>
  </si>
  <si>
    <t xml:space="preserve">Stolperstein für Ernst Platzko (Kopenhagen).jpg</t>
  </si>
  <si>
    <t xml:space="preserve">OSM-node uden navn 25 m væk – hvilken sten på adressen?</t>
  </si>
  <si>
    <t xml:space="preserve">DK-0079</t>
  </si>
  <si>
    <t xml:space="preserve">Eva Salomonsen</t>
  </si>
  <si>
    <t xml:space="preserve">Bredgade 51</t>
  </si>
  <si>
    <t xml:space="preserve">HIER WOHNTE / EVA SALOMONSEN / GEB. ALS WAGNER 1855 / VERHAFTET 2.10.1943 / DEPORTIERT / THERESIENSTADT / UMGEKOMMEN 14.10.1943</t>
  </si>
  <si>
    <t xml:space="preserve">https://snublesten.dk/snublesten/eva-salomonsen/</t>
  </si>
  <si>
    <t xml:space="preserve">13136804794 (?)</t>
  </si>
  <si>
    <t xml:space="preserve">Stolperstein für Eva Salomonsen (Kopenhagen).jpg</t>
  </si>
  <si>
    <t xml:space="preserve">OSM-node uden navn 15 m væk – hvilken sten på adressen?</t>
  </si>
  <si>
    <t xml:space="preserve">DK-0080</t>
  </si>
  <si>
    <t xml:space="preserve">Georg Kruse Christensen</t>
  </si>
  <si>
    <t xml:space="preserve">Dronningens Tværgade 48</t>
  </si>
  <si>
    <t xml:space="preserve">1302</t>
  </si>
  <si>
    <t xml:space="preserve">https://snublesten.dk/snublesten/georg-kruse-christensen/</t>
  </si>
  <si>
    <t xml:space="preserve">DK-0081</t>
  </si>
  <si>
    <t xml:space="preserve">Abraham Axel Margolinsky</t>
  </si>
  <si>
    <t xml:space="preserve">Dyrkøb 3</t>
  </si>
  <si>
    <t xml:space="preserve">1166</t>
  </si>
  <si>
    <t xml:space="preserve">HIER WOHNTE / ABRAHAM 'AXEL' / MARGOLINSKY / GEBOREN 1888 / VERHAFTET 29.8.1943 / INTERNIERT IN HORSERØD / DEPORTIERT 1943 / THERESIENSTADT / BEFREIT</t>
  </si>
  <si>
    <t xml:space="preserve">https://snublesten.dk/snublesten/abraham-margolinsky/</t>
  </si>
  <si>
    <t xml:space="preserve">13136772058 (?)</t>
  </si>
  <si>
    <t xml:space="preserve">Stolperstein für Abraham Margolinsky (Kopenhagen).jpg</t>
  </si>
  <si>
    <t xml:space="preserve">OSM-node uden navn 11 m væk – hvilken sten på adressen?</t>
  </si>
  <si>
    <t xml:space="preserve">DK-0082</t>
  </si>
  <si>
    <t xml:space="preserve">Tove Margolinsky</t>
  </si>
  <si>
    <t xml:space="preserve">HIER WOHNTE / TOVE MARGOLINSKY / GEB. HEIMANN 1898 / FLUCHT NACH SCHWEDEN / 4.10.1943</t>
  </si>
  <si>
    <t xml:space="preserve">https://snublesten.dk/snublesten/tove-margolinsky/</t>
  </si>
  <si>
    <t xml:space="preserve">Stolperstein für Tove Margolinsky (Kopenhagen).jpg</t>
  </si>
  <si>
    <t xml:space="preserve">DK-0083</t>
  </si>
  <si>
    <t xml:space="preserve">Betti Ruben</t>
  </si>
  <si>
    <t xml:space="preserve">Egilsgade 29A</t>
  </si>
  <si>
    <t xml:space="preserve">https://snublesten.dk/snublesten/betti-ruben/</t>
  </si>
  <si>
    <t xml:space="preserve">DK-0084</t>
  </si>
  <si>
    <t xml:space="preserve">Daniel Ruben</t>
  </si>
  <si>
    <t xml:space="preserve">https://snublesten.dk/snublesten/daniel-ruben/</t>
  </si>
  <si>
    <t xml:space="preserve">DK-0085</t>
  </si>
  <si>
    <t xml:space="preserve">Judith Ruben</t>
  </si>
  <si>
    <t xml:space="preserve">https://snublesten.dk/snublesten/judith-ruben/</t>
  </si>
  <si>
    <t xml:space="preserve">DK-0086</t>
  </si>
  <si>
    <t xml:space="preserve">Klara Ruben</t>
  </si>
  <si>
    <t xml:space="preserve">https://snublesten.dk/snublesten/klara-ruben/</t>
  </si>
  <si>
    <t xml:space="preserve">DK-0087</t>
  </si>
  <si>
    <t xml:space="preserve">Leon Abraham Ruben</t>
  </si>
  <si>
    <t xml:space="preserve">HIER WOHNTE / LEON ABRAHAM / RUBEN / GEB. 1895 / VERHAFTET 1.10.1943 / DEPORTIERT 1943 / THERESIENSTADT / UMGEKOMMEN 15.2.1944</t>
  </si>
  <si>
    <t xml:space="preserve">https://snublesten.dk/snublesten/leon-abraham-ruben/</t>
  </si>
  <si>
    <t xml:space="preserve">Stolperstein für Leon Abraham Ruben (Kopenhagen).jpg</t>
  </si>
  <si>
    <t xml:space="preserve">DK-0088</t>
  </si>
  <si>
    <t xml:space="preserve">Moses "Mænni" Ruben</t>
  </si>
  <si>
    <t xml:space="preserve">https://snublesten.dk/snublesten/moses-maenni-ruben/</t>
  </si>
  <si>
    <t xml:space="preserve">DK-0089</t>
  </si>
  <si>
    <t xml:space="preserve">Edel Oppenheim</t>
  </si>
  <si>
    <t xml:space="preserve">Frederiksborggade 21</t>
  </si>
  <si>
    <t xml:space="preserve">1362</t>
  </si>
  <si>
    <t xml:space="preserve">https://snublesten.dk/snublesten/edel-oppenheim/</t>
  </si>
  <si>
    <t xml:space="preserve">DK-0090</t>
  </si>
  <si>
    <t xml:space="preserve">Gerson Oppenheim</t>
  </si>
  <si>
    <t xml:space="preserve">1360</t>
  </si>
  <si>
    <t xml:space="preserve">https://snublesten.dk/snublesten/gerson-oppenheim/</t>
  </si>
  <si>
    <t xml:space="preserve">DK-0091</t>
  </si>
  <si>
    <t xml:space="preserve">Leja 'Lea' Grünbaum</t>
  </si>
  <si>
    <t xml:space="preserve">Frederikssundsvej 39</t>
  </si>
  <si>
    <t xml:space="preserve">HIER WOHNTE / LEJA 'LEA' / GRÜNBAUM / GEB. KATZ 1893 / VERHAFTET 4.10.1943 / INTERNIERT IN HORSERØD / DEPORTIERT 1943 / THERESIENSTADT / BEFREIT</t>
  </si>
  <si>
    <t xml:space="preserve">https://snublesten.dk/snublesten/leja-grunbaum/</t>
  </si>
  <si>
    <t xml:space="preserve">Stolperstein für Leja Grünbaum (Kopenhagen).jpg</t>
  </si>
  <si>
    <t xml:space="preserve">DK-0092</t>
  </si>
  <si>
    <t xml:space="preserve">Moshe Grünbaum</t>
  </si>
  <si>
    <t xml:space="preserve">HIER WOHNTE / MOSHE 'MOSES' / GRÜNBAUM / GEBOREN 1882 / VERHAFTET 4.10.1943 / INTERNIERT IN HORSERØD / DEPORTIERT 1943 / THERESIENSTADT / BEFREIT</t>
  </si>
  <si>
    <t xml:space="preserve">https://snublesten.dk/snublesten/moshe-grunbaum/</t>
  </si>
  <si>
    <t xml:space="preserve">Stolperstein für Moshe Grünbaum (Kopenhagen).jpg</t>
  </si>
  <si>
    <t xml:space="preserve">DK-0093</t>
  </si>
  <si>
    <t xml:space="preserve">Rachel Kagan</t>
  </si>
  <si>
    <t xml:space="preserve">HIER WOHNTE / RACHEL KAGAN / GEBOREN 1928 / VERHAFTET 4.10.1943 / INTERNIERT IN HORSERØD / DEPORTIERT 1943 / THERESIENSTADT / BEFREIT</t>
  </si>
  <si>
    <t xml:space="preserve">https://snublesten.dk/snublesten/rachel-kagan/</t>
  </si>
  <si>
    <t xml:space="preserve">Stolperstein für Rachel Kagan (Kopenhagen).jpg</t>
  </si>
  <si>
    <t xml:space="preserve">DK-0094</t>
  </si>
  <si>
    <t xml:space="preserve">Johan Grün</t>
  </si>
  <si>
    <t xml:space="preserve">Gustav Adolfs Gade 5</t>
  </si>
  <si>
    <t xml:space="preserve">https://snublesten.dk/snublesten/johan-grun/</t>
  </si>
  <si>
    <t xml:space="preserve">DK-0095</t>
  </si>
  <si>
    <t xml:space="preserve">Olaf Salomon Grün</t>
  </si>
  <si>
    <t xml:space="preserve">https://snublesten.dk/snublesten/olaf-salomon-grun/</t>
  </si>
  <si>
    <t xml:space="preserve">DK-0096</t>
  </si>
  <si>
    <t xml:space="preserve">Anker Herman Knudsen</t>
  </si>
  <si>
    <t xml:space="preserve">Haydnsvej 1</t>
  </si>
  <si>
    <t xml:space="preserve">2450</t>
  </si>
  <si>
    <t xml:space="preserve">København SV</t>
  </si>
  <si>
    <t xml:space="preserve">https://snublesten.dk/snublesten/anker-herman-knudsen/</t>
  </si>
  <si>
    <t xml:space="preserve">DK-0097</t>
  </si>
  <si>
    <t xml:space="preserve">Josef Flammenbaum</t>
  </si>
  <si>
    <t xml:space="preserve">Heinesgade 1</t>
  </si>
  <si>
    <t xml:space="preserve">HIER WOHNTE / JOSEF / FLAMMENBAUM / GEB. 1890 / VERHAFTET 1.10.1943 / DEPORTIERT 1943 / THERESIENSTADT / ERMORDET 19.2.1944</t>
  </si>
  <si>
    <t xml:space="preserve">https://snublesten.dk/snublesten/josef-flammenbaum/</t>
  </si>
  <si>
    <t xml:space="preserve">Stolperstein für Josef Flammenbaum (Kopenhagen).jpg</t>
  </si>
  <si>
    <t xml:space="preserve">DK-0098</t>
  </si>
  <si>
    <t xml:space="preserve">Meniche Flammenbaum</t>
  </si>
  <si>
    <t xml:space="preserve">https://snublesten.dk/snublesten/meniche-flammenbaum/</t>
  </si>
  <si>
    <t xml:space="preserve">DK-0099</t>
  </si>
  <si>
    <t xml:space="preserve">Willy Engel</t>
  </si>
  <si>
    <t xml:space="preserve">Italiensvej 73</t>
  </si>
  <si>
    <t xml:space="preserve">HER BOEDE WILLY ENGEL FØDT 1871 ARRESTERET 1.10.1943 DEPORTERET 1943 THERESIENSTADT MYRDET 23.2.1944</t>
  </si>
  <si>
    <t xml:space="preserve">HIER WOHNTE / WILLY ENGEL / GEBOREN 1871 / VERHAFTET 1.10.1943 / DEPORTIERT 1943 / THERESIENSTADT / ERMORDET 23.2.1944</t>
  </si>
  <si>
    <t xml:space="preserve">https://snublesten.dk/snublesten/willy-engel/</t>
  </si>
  <si>
    <t xml:space="preserve">12294906974</t>
  </si>
  <si>
    <t xml:space="preserve">Stolperstein für Willy Engel (Kopenhagen).jpg</t>
  </si>
  <si>
    <t xml:space="preserve">DK-0100</t>
  </si>
  <si>
    <t xml:space="preserve">Rudolf Apter</t>
  </si>
  <si>
    <t xml:space="preserve">Jægergade 5-15</t>
  </si>
  <si>
    <t xml:space="preserve">https://snublesten.dk/snublesten/rudolf-apter/</t>
  </si>
  <si>
    <t xml:space="preserve">DK-0101</t>
  </si>
  <si>
    <t xml:space="preserve">Sonja Apter</t>
  </si>
  <si>
    <t xml:space="preserve">https://snublesten.dk/snublesten/sonja-apter/</t>
  </si>
  <si>
    <t xml:space="preserve">DK-0102</t>
  </si>
  <si>
    <t xml:space="preserve">Svend Arne Larsen</t>
  </si>
  <si>
    <t xml:space="preserve">Kastrupvej 173</t>
  </si>
  <si>
    <t xml:space="preserve">https://snublesten.dk/snublesten/svend-arne-larsen/</t>
  </si>
  <si>
    <t xml:space="preserve">DK-0103</t>
  </si>
  <si>
    <t xml:space="preserve">Berl Kanter</t>
  </si>
  <si>
    <t xml:space="preserve">Kastrupvej 75</t>
  </si>
  <si>
    <t xml:space="preserve">https://snublesten.dk/snublesten/berl-kanter/</t>
  </si>
  <si>
    <t xml:space="preserve">DK-0104</t>
  </si>
  <si>
    <t xml:space="preserve">Sima Ente Kanter</t>
  </si>
  <si>
    <t xml:space="preserve">https://snublesten.dk/snublesten/sima-ente-kanter/</t>
  </si>
  <si>
    <t xml:space="preserve">DK-0105</t>
  </si>
  <si>
    <t xml:space="preserve">Helene Cipikoff</t>
  </si>
  <si>
    <t xml:space="preserve">Kirsteinsgade 4</t>
  </si>
  <si>
    <t xml:space="preserve">https://snublesten.dk/snublesten/helene-cipikoff/</t>
  </si>
  <si>
    <t xml:space="preserve">DK-0106</t>
  </si>
  <si>
    <t xml:space="preserve">Nison 'Nathan' Cipikoff</t>
  </si>
  <si>
    <t xml:space="preserve">https://snublesten.dk/snublesten/nison-nathan-cipikoff/</t>
  </si>
  <si>
    <t xml:space="preserve">DK-0107</t>
  </si>
  <si>
    <t xml:space="preserve">Egon Henry Johannesen</t>
  </si>
  <si>
    <t xml:space="preserve">Korsager Allé 38</t>
  </si>
  <si>
    <t xml:space="preserve">2700</t>
  </si>
  <si>
    <t xml:space="preserve">Brønshøj</t>
  </si>
  <si>
    <t xml:space="preserve">HIER WOHNTE / EGON HENRY / JOHANNESEN / GEBOREN 1918 / FLUCHTHELFER FÜR JUDEN / ZU HAUSE ERSCHOSSEN / 24.11.1944</t>
  </si>
  <si>
    <t xml:space="preserve">https://snublesten.dk/snublesten/egon-henry-johannesen/</t>
  </si>
  <si>
    <t xml:space="preserve">Stolperstein für Egon Henry Johannesen (Kopenhagen).jpg</t>
  </si>
  <si>
    <t xml:space="preserve">DK-0108</t>
  </si>
  <si>
    <t xml:space="preserve">Claus Christian Heilesen</t>
  </si>
  <si>
    <t xml:space="preserve">Krausesvej 6</t>
  </si>
  <si>
    <t xml:space="preserve">https://snublesten.dk/snublesten/claus-christian-heilesen/</t>
  </si>
  <si>
    <t xml:space="preserve">DK-0109</t>
  </si>
  <si>
    <t xml:space="preserve">Ruth Fanni Niedrig</t>
  </si>
  <si>
    <t xml:space="preserve">Kronprinsensgade 13</t>
  </si>
  <si>
    <t xml:space="preserve">1114</t>
  </si>
  <si>
    <t xml:space="preserve">HIER WOHNTE / RUTH FANNI / NIEDRIG / GEBOREN 1920 ALS SECKELSON / VERHAFTET 4.5.1940 / ABGESCHOBEN NACH DEUTSCHLAND / 11.7.1940 / ERMORDET AUG. 1943 / AUSCHWITZ</t>
  </si>
  <si>
    <t xml:space="preserve">https://snublesten.dk/snublesten/ruth-fanni-niedrig/</t>
  </si>
  <si>
    <t xml:space="preserve">Q64691643</t>
  </si>
  <si>
    <t xml:space="preserve">13136795321 (?)</t>
  </si>
  <si>
    <t xml:space="preserve">Stolperstein für Ruth Fanni Niedrig (Kopenhagen).jpg</t>
  </si>
  <si>
    <t xml:space="preserve">OSM-node uden navn 5 m væk – hvilken sten på adressen?</t>
  </si>
  <si>
    <t xml:space="preserve">DK-0110</t>
  </si>
  <si>
    <t xml:space="preserve">Schulim Niedrig</t>
  </si>
  <si>
    <t xml:space="preserve">https://snublesten.dk/snublesten/schulim-niedrig/</t>
  </si>
  <si>
    <t xml:space="preserve">DK-0111</t>
  </si>
  <si>
    <t xml:space="preserve">Beile Malka Zipikoff</t>
  </si>
  <si>
    <t xml:space="preserve">Krystalgade 12</t>
  </si>
  <si>
    <t xml:space="preserve">1172</t>
  </si>
  <si>
    <t xml:space="preserve">HIER WOHNTE / BEILE MALKA / ZIPIKOFF / GEBOREN 1861 ALS UNTERSCHLAG / VERHAFTET 1.10.1943 / DEPORTIERT 1943 / THERESIENSTADT / UMGEKOMMEN 21.10.1943</t>
  </si>
  <si>
    <t xml:space="preserve">https://snublesten.dk/snublesten/beile-malka-zipikoff/</t>
  </si>
  <si>
    <t xml:space="preserve">Q88907771</t>
  </si>
  <si>
    <t xml:space="preserve">13136783332 (?)</t>
  </si>
  <si>
    <t xml:space="preserve">Stolperstein für Beile Malka Zipikoff (Kopenhagen).jpg</t>
  </si>
  <si>
    <t xml:space="preserve">OSM-node uden navn 41 m væk – hvilken sten på adressen?</t>
  </si>
  <si>
    <t xml:space="preserve">DK-0112</t>
  </si>
  <si>
    <t xml:space="preserve">Blima Itzkowitz</t>
  </si>
  <si>
    <t xml:space="preserve">HIER WOHNTE / BLIMA ITZKOWITZ / GEB. WARSAWSKI 1861 / VERHAFTET 4.10.1943 / DEPORTIERT 1943 / THERESIENSTADT / BEFREIT</t>
  </si>
  <si>
    <t xml:space="preserve">https://snublesten.dk/snublesten/blima-itzkowitz/</t>
  </si>
  <si>
    <t xml:space="preserve">Stolperstein für Blima Itzkowitz (Kopenhagen).jpg</t>
  </si>
  <si>
    <t xml:space="preserve">de.wikipedia angiver adresse 'Vibevej 45'; OSM-node uden navn 41 m væk – hvilken sten på adressen?; AFVIGELSE: snublesten.dk siger Krystalgade 12, de.wikipedia Vibevej 45</t>
  </si>
  <si>
    <t xml:space="preserve">DK-0113</t>
  </si>
  <si>
    <t xml:space="preserve">Isak Waniewitz</t>
  </si>
  <si>
    <t xml:space="preserve">https://snublesten.dk/snublesten/isak-waniewitz/</t>
  </si>
  <si>
    <t xml:space="preserve">DK-0114</t>
  </si>
  <si>
    <t xml:space="preserve">Klara Nathan</t>
  </si>
  <si>
    <t xml:space="preserve">https://snublesten.dk/snublesten/klara-nathan/</t>
  </si>
  <si>
    <t xml:space="preserve">DK-0115</t>
  </si>
  <si>
    <t xml:space="preserve">Martin Isidor Cohen</t>
  </si>
  <si>
    <t xml:space="preserve">HIER WOHNTE / MARTIN ISIDOR / COHEN / GEBOREN 1865 / VERHAFTET 1.10.1943 / DEPORTIERT 1943 / THERESIENSTADT / ERMORDET 14.10.1943</t>
  </si>
  <si>
    <t xml:space="preserve">https://snublesten.dk/snublesten/martin-isidor-cohen/</t>
  </si>
  <si>
    <t xml:space="preserve">Stolperstein für Martin Isidor Cohen (Kopenhagen).jpg</t>
  </si>
  <si>
    <t xml:space="preserve">DK-0116</t>
  </si>
  <si>
    <t xml:space="preserve">Rosa Nachemsohn</t>
  </si>
  <si>
    <t xml:space="preserve">HIER WOHNTE / ROSA NACHEMSOHN / GEBOREN 1868 ALS HILLELSOHN / VERHAFTET 1.10.1943 / DEPORTIERT 1943 / THERESIENSTADT / UMGEKOMMEN 22.12.1943</t>
  </si>
  <si>
    <t xml:space="preserve">https://snublesten.dk/snublesten/rosa-nachemsohn/</t>
  </si>
  <si>
    <t xml:space="preserve">Q88907774</t>
  </si>
  <si>
    <t xml:space="preserve">Stolperstein für Rosa Nachemsohn (Kopenhagen).jpg</t>
  </si>
  <si>
    <t xml:space="preserve">DK-0117</t>
  </si>
  <si>
    <t xml:space="preserve">Rosette Meyer</t>
  </si>
  <si>
    <t xml:space="preserve">HIER WOHNTE / ROSETTE MEYER / GEBOREN 1871 / VERHAFTET 1.10.1943 / DEPORTIERT 1943 / THERESIENSTADT / ERMORDET 17.6.1944</t>
  </si>
  <si>
    <t xml:space="preserve">https://snublesten.dk/snublesten/rosette-meyer/</t>
  </si>
  <si>
    <t xml:space="preserve">Stolperstein für Rosette Meyer (Kopenhagen).jpg</t>
  </si>
  <si>
    <t xml:space="preserve">DK-0118</t>
  </si>
  <si>
    <t xml:space="preserve">Sofie Waniewitz</t>
  </si>
  <si>
    <t xml:space="preserve">https://snublesten.dk/snublesten/sofie-waniewitz/</t>
  </si>
  <si>
    <t xml:space="preserve">DK-0119</t>
  </si>
  <si>
    <t xml:space="preserve">Thora Krogmann</t>
  </si>
  <si>
    <t xml:space="preserve">HIER WOHNTE / THORA KROGMANN / GEBOREN 1875 ALS WOHLMUTH / VERHAFTET 1.10.1943 / DEPORTIERT 1943 / THERESIENSTADT / UMGEKOMMEN 13.8.1944</t>
  </si>
  <si>
    <t xml:space="preserve">https://snublesten.dk/snublesten/thora-krogmann/</t>
  </si>
  <si>
    <t xml:space="preserve">Q88907777</t>
  </si>
  <si>
    <t xml:space="preserve">Stolperstein für Thora Krogmann (Kopenhagen).jpg</t>
  </si>
  <si>
    <t xml:space="preserve">DK-0120</t>
  </si>
  <si>
    <t xml:space="preserve">William Melchior</t>
  </si>
  <si>
    <t xml:space="preserve">Lille Strandstræde 26</t>
  </si>
  <si>
    <t xml:space="preserve">1254</t>
  </si>
  <si>
    <t xml:space="preserve">HIER WOHNTE / WILLIAM MELCHIOR / GEBOREN 1884 / VERHAFTET 1943 / DEPORTIERT 1943 / THERESIENSTADT / ERMORDET 27.2.1944</t>
  </si>
  <si>
    <t xml:space="preserve">https://snublesten.dk/snublesten/william-melchior/</t>
  </si>
  <si>
    <t xml:space="preserve">Stolperstein für William Melchior (Kopenhagen).jpg</t>
  </si>
  <si>
    <t xml:space="preserve">DK-0121</t>
  </si>
  <si>
    <t xml:space="preserve">Arthur Ascher</t>
  </si>
  <si>
    <t xml:space="preserve">Løgstørgade 19</t>
  </si>
  <si>
    <t xml:space="preserve">HIER WOHNTE / ARTHUR ASHER / GEBOREN 1881 / DEPORTIERT 1943 / THERESIENSTADT / UMGEKOMMEN 5.10.1943</t>
  </si>
  <si>
    <t xml:space="preserve">https://snublesten.dk/snublesten/arthur-ascher/</t>
  </si>
  <si>
    <t xml:space="preserve">Stolperstein für Arthur Ascher (Kopenhagen).jpg</t>
  </si>
  <si>
    <t xml:space="preserve">Indskrift ifølge de.wikipedia: 'ARTHUR ASHER' – stavefejl på stenen?</t>
  </si>
  <si>
    <t xml:space="preserve">DK-0122</t>
  </si>
  <si>
    <t xml:space="preserve">Martha Mathilde Goldberg</t>
  </si>
  <si>
    <t xml:space="preserve">https://snublesten.dk/snublesten/martha-mathilde-goldberg/</t>
  </si>
  <si>
    <t xml:space="preserve">DK-0123</t>
  </si>
  <si>
    <t xml:space="preserve">Michael Rubin Singerowitz</t>
  </si>
  <si>
    <t xml:space="preserve">Magstræde 8</t>
  </si>
  <si>
    <t xml:space="preserve">1204</t>
  </si>
  <si>
    <t xml:space="preserve">https://snublesten.dk/snublesten/michael-rubin-singerowitz/</t>
  </si>
  <si>
    <t xml:space="preserve">DK-0124</t>
  </si>
  <si>
    <t xml:space="preserve">Elias Levin</t>
  </si>
  <si>
    <t xml:space="preserve">Nansensgade 19</t>
  </si>
  <si>
    <t xml:space="preserve">1366</t>
  </si>
  <si>
    <t xml:space="preserve">HIER WOHNTE / ELIAS LEVIN / GEBOREN 1909 / VERHAFTET 1.10.1943 / DEPORTIERT 1943 / THERESIENSTADT / BEFREIT</t>
  </si>
  <si>
    <t xml:space="preserve">https://snublesten.dk/snublesten/elias-levin/</t>
  </si>
  <si>
    <t xml:space="preserve">13136734631 (?)</t>
  </si>
  <si>
    <t xml:space="preserve">Stolperstein für Elias Levin (Kopenhagen).jpg</t>
  </si>
  <si>
    <t xml:space="preserve">OSM-node uden navn 35 m væk – hvilken sten på adressen?</t>
  </si>
  <si>
    <t xml:space="preserve">DK-0125</t>
  </si>
  <si>
    <t xml:space="preserve">Nachman Simcha Levin</t>
  </si>
  <si>
    <t xml:space="preserve">HIER WOHNTE / NACHMAN SIMCHA / LEVIN / GEBOREN 1873 / VERHAFTET 1.10.1943 / DEPORTIERT 1943 / THERESIENSTADT / BEFREIT</t>
  </si>
  <si>
    <t xml:space="preserve">https://snublesten.dk/snublesten/nachman-simcha-levin/</t>
  </si>
  <si>
    <t xml:space="preserve">Stolperstein für Nachman Simcha Levin (Kopenhagen).jpg</t>
  </si>
  <si>
    <t xml:space="preserve">DK-0126</t>
  </si>
  <si>
    <t xml:space="preserve">Rifka Rebecca Levin</t>
  </si>
  <si>
    <t xml:space="preserve">HIER WOHNTE / RIFKA REBECCA / LEVIN / GEBOREN 1901 / VERHAFTET 1.10.1943 / DEPORTIERT 1943 / THERESIENSTADT / BEFREIT</t>
  </si>
  <si>
    <t xml:space="preserve">https://snublesten.dk/snublesten/rifka-levin/</t>
  </si>
  <si>
    <t xml:space="preserve">Stolperstein für Rifka Rebecca Levin (Kopenhagen).jpg</t>
  </si>
  <si>
    <t xml:space="preserve">DK-0127</t>
  </si>
  <si>
    <t xml:space="preserve">Alfred Fürst</t>
  </si>
  <si>
    <t xml:space="preserve">Nansensgade 52</t>
  </si>
  <si>
    <t xml:space="preserve">HIER WOHNTE / ALFRED FÜRST / GEBOREN 1905 / VERHAFTET 6.10.1943 / DEPORTIERT 1943 / THERESIENSTADT / BEFREIT</t>
  </si>
  <si>
    <t xml:space="preserve">https://snublesten.dk/snublesten/alfred-furst/</t>
  </si>
  <si>
    <t xml:space="preserve">13136781586 (?)</t>
  </si>
  <si>
    <t xml:space="preserve">Stolperstein für Alfred Fürst (Kopenhagen).jpg</t>
  </si>
  <si>
    <t xml:space="preserve">OSM-node uden navn 1 m væk – hvilken sten på adressen?</t>
  </si>
  <si>
    <t xml:space="preserve">DK-0128</t>
  </si>
  <si>
    <t xml:space="preserve">Anna Fürst</t>
  </si>
  <si>
    <t xml:space="preserve">HIER WOHNTE / ANNA NAHAMA FÜRST / GEB. LEVIN 1907 / VERHAFTET 6.10.1943 / DEPORTIERT 1943 / THERESIENSTADT / BEFREIT</t>
  </si>
  <si>
    <t xml:space="preserve">https://snublesten.dk/snublesten/anna-furst/</t>
  </si>
  <si>
    <t xml:space="preserve">Stolperstein für Anna Nahama Fürst (Kopenhagen).jpg</t>
  </si>
  <si>
    <t xml:space="preserve">DK-0129</t>
  </si>
  <si>
    <t xml:space="preserve">Hennie Fürst</t>
  </si>
  <si>
    <t xml:space="preserve">HENNIE FÜRST / GEBOREN 31.3.1944 / IN THERESIENSTADT / BEFREIT</t>
  </si>
  <si>
    <t xml:space="preserve">https://snublesten.dk/snublesten/hennie-furst/</t>
  </si>
  <si>
    <t xml:space="preserve">Stolperstein für Hennie Fürst (Kopenhagen).jpg</t>
  </si>
  <si>
    <t xml:space="preserve">DK-0130</t>
  </si>
  <si>
    <t xml:space="preserve">Børge Daub Fogel</t>
  </si>
  <si>
    <t xml:space="preserve">Nordre Frihavnsgade 32</t>
  </si>
  <si>
    <t xml:space="preserve">HIER WOHNTE / BØRGE DAUB / FOGEL / GEBOREN 1913 / VERHAFTET 1.10.1943 / DEPORTIERT 1943 / THERESIENSTADT / BEFREIT</t>
  </si>
  <si>
    <t xml:space="preserve">https://snublesten.dk/snublesten/borge-daub-fogel/</t>
  </si>
  <si>
    <t xml:space="preserve">Stolperstein für Borge Daub Fogel (Kopenhagen).jpg</t>
  </si>
  <si>
    <t xml:space="preserve">DK-0131</t>
  </si>
  <si>
    <t xml:space="preserve">Eva Fogel</t>
  </si>
  <si>
    <t xml:space="preserve">HIER WOHNTE / EVA FOGEL / GEB. LEVIN 1886 / VERHAFTET 1.10.1943 / DEPORTIERT 1943 / THERESIENSTADT / BEFREIT</t>
  </si>
  <si>
    <t xml:space="preserve">https://snublesten.dk/snublesten/eva-fogel/</t>
  </si>
  <si>
    <t xml:space="preserve">Stolperstein für Eva Fogel (Kopenhagen).jpg</t>
  </si>
  <si>
    <t xml:space="preserve">DK-0132</t>
  </si>
  <si>
    <t xml:space="preserve">Inge-Lise Jensen</t>
  </si>
  <si>
    <t xml:space="preserve">HIER WOHNTE / INGE-LISE JENSEN / GEBOREN 1936 / VERHAFTET 1.10.1943 / DEPORTIERT 1943 / THERESIENSTADT / FREIGEKOMMEN 14.1.1944 / MIT HILFE IHRES VATERS</t>
  </si>
  <si>
    <t xml:space="preserve">https://snublesten.dk/snublesten/inge-lise-jensen/</t>
  </si>
  <si>
    <t xml:space="preserve">Stolperstein für Inge-Lise Jensen (Kopenhagen).jpg</t>
  </si>
  <si>
    <t xml:space="preserve">DK-0133</t>
  </si>
  <si>
    <t xml:space="preserve">Nisop Fogel</t>
  </si>
  <si>
    <t xml:space="preserve">HIER WOHNTE / NISOP 'NATHAN' / FOGEL / GEBOREN 1878 / VERHAFTET 1.10.1943 / DEPORTIERT 1943 / THERESIENSTADT / BEFREIT</t>
  </si>
  <si>
    <t xml:space="preserve">https://snublesten.dk/snublesten/nisop-nathan-fogel/</t>
  </si>
  <si>
    <t xml:space="preserve">Stolperstein für Nisop Fogel (Kopenhagen).jpg</t>
  </si>
  <si>
    <t xml:space="preserve">DK-0134</t>
  </si>
  <si>
    <t xml:space="preserve">Paula Gurli Jensen</t>
  </si>
  <si>
    <t xml:space="preserve">HIER WOHNTE / PAULA GURLI / JENSEN / GEB. FOGEL 1917 / VERHAFTET 1.10.1943 / DEPORTIERT 1943 / THERESIENSTADT / BEFREIT</t>
  </si>
  <si>
    <t xml:space="preserve">https://snublesten.dk/snublesten/paula-gurli-jensen/</t>
  </si>
  <si>
    <t xml:space="preserve">Stolperstein für Paula Gurli Jensen (Kopenhagen).jpg</t>
  </si>
  <si>
    <t xml:space="preserve">DK-0135</t>
  </si>
  <si>
    <t xml:space="preserve">Sonja Doris Fogel</t>
  </si>
  <si>
    <t xml:space="preserve">HIER WOHNTE / SONJA DORIS / FOGEL / GEBOREN 1912 / VERHAFTET 1.10.1943 / DEPORTIERT 1943 / THERESIENSTADT / BEFREIT</t>
  </si>
  <si>
    <t xml:space="preserve">https://snublesten.dk/snublesten/sonja-fogel/</t>
  </si>
  <si>
    <t xml:space="preserve">Stolperstein für Sonja Doris Fogel (Kopenhagen).jpg</t>
  </si>
  <si>
    <t xml:space="preserve">DK-0136</t>
  </si>
  <si>
    <t xml:space="preserve">Britta Edel Nathanson</t>
  </si>
  <si>
    <t xml:space="preserve">Ny Kongensgade 8</t>
  </si>
  <si>
    <t xml:space="preserve">1472</t>
  </si>
  <si>
    <t xml:space="preserve">https://snublesten.dk/snublesten/britta-edel-nathanson/</t>
  </si>
  <si>
    <t xml:space="preserve">DK-0137</t>
  </si>
  <si>
    <t xml:space="preserve">Jurika Nathanson</t>
  </si>
  <si>
    <t xml:space="preserve">https://snublesten.dk/snublesten/jurika-nathanson/</t>
  </si>
  <si>
    <t xml:space="preserve">DK-0138</t>
  </si>
  <si>
    <t xml:space="preserve">Rebekka Wattkin</t>
  </si>
  <si>
    <t xml:space="preserve">https://snublesten.dk/snublesten/rebekka-wattkin/</t>
  </si>
  <si>
    <t xml:space="preserve">DK-0139</t>
  </si>
  <si>
    <t xml:space="preserve">Irma Barasch</t>
  </si>
  <si>
    <t xml:space="preserve">Nørregade 27</t>
  </si>
  <si>
    <t xml:space="preserve">1165</t>
  </si>
  <si>
    <t xml:space="preserve">HIER WOHNTE / IRMA BARASCH / GEBOREN 1893 ALS MARCUSE / VERHAFTET 29.8.1942 / ABGESCHOBEN NACH DEUTSCHLAND / 7.9.1942 / AUSCHWITZ / ERMORDET</t>
  </si>
  <si>
    <t xml:space="preserve">https://snublesten.dk/snublesten/irma-barasch/</t>
  </si>
  <si>
    <t xml:space="preserve">13136756200 (?)</t>
  </si>
  <si>
    <t xml:space="preserve">Stolperstein für Irma Barasch (Kopenhagen).jpg</t>
  </si>
  <si>
    <t xml:space="preserve">OSM-node uden navn 8 m væk – hvilken sten på adressen?</t>
  </si>
  <si>
    <t xml:space="preserve">DK-0140</t>
  </si>
  <si>
    <t xml:space="preserve">Julius Barasch</t>
  </si>
  <si>
    <t xml:space="preserve">HIER WOHNTE / JULIUS BARASCH / GEBOREN 1898 / VERHAFTET 29.8.1942 / ABGESCHOBEN NACH DEUTSCHLAND / 7.9.1942 / ERMORDET 23.10.1943 / AUSCHWITZ</t>
  </si>
  <si>
    <t xml:space="preserve">https://snublesten.dk/snublesten/julius-barasch/</t>
  </si>
  <si>
    <t xml:space="preserve">Stolperstein für Julius Barasch (Kopenhagen).jpg</t>
  </si>
  <si>
    <t xml:space="preserve">DK-0141</t>
  </si>
  <si>
    <t xml:space="preserve">Birgit Krasnik</t>
  </si>
  <si>
    <t xml:space="preserve">Ole Suhrs Gade 13</t>
  </si>
  <si>
    <t xml:space="preserve">1354</t>
  </si>
  <si>
    <t xml:space="preserve">https://snublesten.dk/snublesten/birgit-krasnik/</t>
  </si>
  <si>
    <t xml:space="preserve">DK-0142</t>
  </si>
  <si>
    <t xml:space="preserve">Isak Krasnik</t>
  </si>
  <si>
    <t xml:space="preserve">https://snublesten.dk/snublesten/isak-krasnik/</t>
  </si>
  <si>
    <t xml:space="preserve">DK-0143</t>
  </si>
  <si>
    <t xml:space="preserve">Preben Krasnik</t>
  </si>
  <si>
    <t xml:space="preserve">https://snublesten.dk/snublesten/preben-krasnik/</t>
  </si>
  <si>
    <t xml:space="preserve">DK-0144</t>
  </si>
  <si>
    <t xml:space="preserve">Rachel Krasnik</t>
  </si>
  <si>
    <t xml:space="preserve">https://snublesten.dk/snublesten/rachel-krasnik/</t>
  </si>
  <si>
    <t xml:space="preserve">DK-0145</t>
  </si>
  <si>
    <t xml:space="preserve">Jeremias Tarchis</t>
  </si>
  <si>
    <t xml:space="preserve">Peblinge Dossering 32A</t>
  </si>
  <si>
    <t xml:space="preserve">https://snublesten.dk/snublesten/jeremias-tarchis/</t>
  </si>
  <si>
    <t xml:space="preserve">DK-0146</t>
  </si>
  <si>
    <t xml:space="preserve">Marie Tarchis</t>
  </si>
  <si>
    <t xml:space="preserve">https://snublesten.dk/snublesten/marie-tarchis/</t>
  </si>
  <si>
    <t xml:space="preserve">DK-0147</t>
  </si>
  <si>
    <t xml:space="preserve">Herschel Fischel Choleva</t>
  </si>
  <si>
    <t xml:space="preserve">Rantzausgade 18</t>
  </si>
  <si>
    <t xml:space="preserve">HIER WOHNTE / HERSCHEL FISCHEL / CHOLEVA / GEBOREN 1885 / VERHAFTET 4.10.1943 / DEPORTIERT 1943 / THERESIENSTADT / UMGEKOMMEN 17.10.1944</t>
  </si>
  <si>
    <t xml:space="preserve">https://snublesten.dk/snublesten/herschel-fischel-choleva/</t>
  </si>
  <si>
    <t xml:space="preserve">Q64691528</t>
  </si>
  <si>
    <t xml:space="preserve">Stolperstein für Herschel Fischel Choleva (Kopenhagen).jpg</t>
  </si>
  <si>
    <t xml:space="preserve">DK-0148</t>
  </si>
  <si>
    <t xml:space="preserve">Pinkus Katz</t>
  </si>
  <si>
    <t xml:space="preserve">Ravnsborg Tværgade 3</t>
  </si>
  <si>
    <t xml:space="preserve">Her boede Pinkus Katz født 1875 arresteret 1.10.1943 deporteret 1943 Theresienstadt omkommet 15.3.1944</t>
  </si>
  <si>
    <t xml:space="preserve">HIER WOHNTE / PINKUS KATZ / GEBOREN 1875 / VERHAFTET 1.10.1943 / DEPORTIERT 1943 / THERESIENSTADT / UMGEKOMMEN 15.3.1944</t>
  </si>
  <si>
    <t xml:space="preserve">https://snublesten.dk/snublesten/pinkus-katz/</t>
  </si>
  <si>
    <t xml:space="preserve">Q64691614</t>
  </si>
  <si>
    <t xml:space="preserve">Stolperstein für Pinkus Katz (Kopenhagen).jpg</t>
  </si>
  <si>
    <t xml:space="preserve">DK-0149</t>
  </si>
  <si>
    <t xml:space="preserve">Birger Mouritsen</t>
  </si>
  <si>
    <t xml:space="preserve">Ribegade 2</t>
  </si>
  <si>
    <t xml:space="preserve">HIER WOHNTE / BIRGER MOURITSEN / GEBOREN 1921 / VERHAFTET 2.6.1944 / DEPORTIERT / PORTA WESTFALICA / NEUENGAMME / ERMORDET 28.11.1944</t>
  </si>
  <si>
    <t xml:space="preserve">https://snublesten.dk/snublesten/birger-mouritsen/</t>
  </si>
  <si>
    <t xml:space="preserve">Stolperstein für Birger Mouritsen (Kopenhagen).jpg</t>
  </si>
  <si>
    <t xml:space="preserve">DK-0150</t>
  </si>
  <si>
    <t xml:space="preserve">Jacob Waniewitz</t>
  </si>
  <si>
    <t xml:space="preserve">Rosenvængets Allé 6</t>
  </si>
  <si>
    <t xml:space="preserve">https://snublesten.dk/snublesten/jacob-waniewitz/</t>
  </si>
  <si>
    <t xml:space="preserve">DK-0151</t>
  </si>
  <si>
    <t xml:space="preserve">Poula Waniewitz</t>
  </si>
  <si>
    <t xml:space="preserve">https://snublesten.dk/snublesten/poula-waniewitz/</t>
  </si>
  <si>
    <t xml:space="preserve">DK-0152</t>
  </si>
  <si>
    <t xml:space="preserve">Rifka Waniewitz</t>
  </si>
  <si>
    <t xml:space="preserve">https://snublesten.dk/snublesten/rifka-waniewitz/</t>
  </si>
  <si>
    <t xml:space="preserve">DK-0153</t>
  </si>
  <si>
    <t xml:space="preserve">Zirla Waniewitz</t>
  </si>
  <si>
    <t xml:space="preserve">https://snublesten.dk/snublesten/zirla-waniewitz/</t>
  </si>
  <si>
    <t xml:space="preserve">DK-0154</t>
  </si>
  <si>
    <t xml:space="preserve">Dorothea Polack</t>
  </si>
  <si>
    <t xml:space="preserve">Rosenørns Allé 10</t>
  </si>
  <si>
    <t xml:space="preserve">1634</t>
  </si>
  <si>
    <t xml:space="preserve">HIER WOHNTE / DOROTHEA POLACK / GEBOREN 1862 / VERHAFTET OCTOBER 1943 / DEPORTIERT / THERESIENSTADT / UMGEKOMMEN 8.12.1943</t>
  </si>
  <si>
    <t xml:space="preserve">https://snublesten.dk/snublesten/dorothea-polack/</t>
  </si>
  <si>
    <t xml:space="preserve">DK-0155</t>
  </si>
  <si>
    <t xml:space="preserve">Julius Jacob Moritzon Lazarus</t>
  </si>
  <si>
    <t xml:space="preserve">Sankt Gertruds Stræde 1</t>
  </si>
  <si>
    <t xml:space="preserve">1129</t>
  </si>
  <si>
    <t xml:space="preserve">https://snublesten.dk/snublesten/julius-jacob-moritzon-lazarus/</t>
  </si>
  <si>
    <t xml:space="preserve">DK-0156</t>
  </si>
  <si>
    <t xml:space="preserve">Abraham Schwartz</t>
  </si>
  <si>
    <t xml:space="preserve">Sankt Pauls Gade 7</t>
  </si>
  <si>
    <t xml:space="preserve">1313</t>
  </si>
  <si>
    <t xml:space="preserve">HIER WOHNTE / ABRAHAM / SCHWARTZ / GEBOREN 1877 / VERHAFTET 1.10.1943 / DEPORTIERT 1943 / THERESIENSTADT / BEFREIT</t>
  </si>
  <si>
    <t xml:space="preserve">https://snublesten.dk/snublesten/abraham-schwartz/</t>
  </si>
  <si>
    <t xml:space="preserve">13136776310 (?)</t>
  </si>
  <si>
    <t xml:space="preserve">Stolperstein für Abraham Schwartz (Kopenhagen).jpg</t>
  </si>
  <si>
    <t xml:space="preserve">OSM-node uden navn 9 m væk – hvilken sten på adressen?</t>
  </si>
  <si>
    <t xml:space="preserve">DK-0157</t>
  </si>
  <si>
    <t xml:space="preserve">Rachel "Rose" Schwartz</t>
  </si>
  <si>
    <t xml:space="preserve">HIER WOHNTE / RACHEL 'ROSE' / SCHWARTZ / GEB. SCHWARZFEDER 1876 / VERHAFTET 1.10.1943 / DEPORTIERT 1943 / THERESIENSTADT / BEFREIT</t>
  </si>
  <si>
    <t xml:space="preserve">https://snublesten.dk/snublesten/rachel-rose-schwartz/</t>
  </si>
  <si>
    <t xml:space="preserve">Stolperstein für Rachel Schwartz (Kopenhagen).jpg</t>
  </si>
  <si>
    <t xml:space="preserve">DK-0158</t>
  </si>
  <si>
    <t xml:space="preserve">Benno Politur</t>
  </si>
  <si>
    <t xml:space="preserve">Schacksgade 11</t>
  </si>
  <si>
    <t xml:space="preserve">1365</t>
  </si>
  <si>
    <t xml:space="preserve">HIER WOHNTE / BENNO POLITUR / GEB. 1872 / VERHAFTET OKT. 1943 / DEPORTIERT 1943 / THERESIENSTADT / UMGEKOMMEN 13.9.1944</t>
  </si>
  <si>
    <t xml:space="preserve">https://snublesten.dk/snublesten/benno-politur/</t>
  </si>
  <si>
    <t xml:space="preserve">13136703438 (?)</t>
  </si>
  <si>
    <t xml:space="preserve">Stolperstein für Benno Politur (Kopenhagen).jpg</t>
  </si>
  <si>
    <t xml:space="preserve">DK-0159</t>
  </si>
  <si>
    <t xml:space="preserve">Chaim Wassermann</t>
  </si>
  <si>
    <t xml:space="preserve">Shetlandsgade 2</t>
  </si>
  <si>
    <t xml:space="preserve">HER BOEDE CHAIM WASSERMANN FØDT 1897 DRUKNET UNDER FLUGT TIL SVERIGE 5.10.1943</t>
  </si>
  <si>
    <t xml:space="preserve">HIER WOHNTE / CHAIM / WASSERMANN / GEBOREN 1897 / ERTRUNKEN AUF DER / FLUCHT NACH SCHWEDEN / 5.10.1943</t>
  </si>
  <si>
    <t xml:space="preserve">https://snublesten.dk/snublesten/chaim-wassermann/</t>
  </si>
  <si>
    <t xml:space="preserve">12300491690</t>
  </si>
  <si>
    <t xml:space="preserve">Stolperstein für Chaim Wassermann (Kopenhagen).jpg</t>
  </si>
  <si>
    <t xml:space="preserve">DK-0160</t>
  </si>
  <si>
    <t xml:space="preserve">Hans Erik Andersen</t>
  </si>
  <si>
    <t xml:space="preserve">Slutterigade 1</t>
  </si>
  <si>
    <t xml:space="preserve">1461</t>
  </si>
  <si>
    <t xml:space="preserve">https://snublesten.dk/snublesten/hans-erik-andersen/</t>
  </si>
  <si>
    <t xml:space="preserve">DK-0161</t>
  </si>
  <si>
    <t xml:space="preserve">Else Margolinsky</t>
  </si>
  <si>
    <t xml:space="preserve">Store Kongensgade 61</t>
  </si>
  <si>
    <t xml:space="preserve">1264</t>
  </si>
  <si>
    <t xml:space="preserve">https://snublesten.dk/snublesten/else-margolinsky/</t>
  </si>
  <si>
    <t xml:space="preserve">DK-0162</t>
  </si>
  <si>
    <t xml:space="preserve">Schmul Sender Jonisch</t>
  </si>
  <si>
    <t xml:space="preserve">Sølvgade 34</t>
  </si>
  <si>
    <t xml:space="preserve">1307</t>
  </si>
  <si>
    <t xml:space="preserve">HIER WOHNTE / SCHMUL / SENDER JONISCH / GEBOREN 1899 / DEPORTIERT 1943 / THERESIENSTADT / ERMORDET MÄRZ 1944 / AUSCHWITZ</t>
  </si>
  <si>
    <t xml:space="preserve">https://snublesten.dk/snublesten/schmul-sender-jonisch/</t>
  </si>
  <si>
    <t xml:space="preserve">Q64691620</t>
  </si>
  <si>
    <t xml:space="preserve">13136775872 (?)</t>
  </si>
  <si>
    <t xml:space="preserve">Stolperstein für Schmul Sender Jonisch (Kopenhagen).jpg</t>
  </si>
  <si>
    <t xml:space="preserve">OSM-node uden navn 12 m væk – hvilken sten på adressen?</t>
  </si>
  <si>
    <t xml:space="preserve">DK-0163</t>
  </si>
  <si>
    <t xml:space="preserve">Cecilia Goldschmidt</t>
  </si>
  <si>
    <t xml:space="preserve">Sølvgade 95</t>
  </si>
  <si>
    <t xml:space="preserve">https://snublesten.dk/snublesten/cecilia-goldschmidt/</t>
  </si>
  <si>
    <t xml:space="preserve">DK-0164</t>
  </si>
  <si>
    <t xml:space="preserve">Blume Blenda Becker</t>
  </si>
  <si>
    <t xml:space="preserve">Thorshavnsgade 28</t>
  </si>
  <si>
    <t xml:space="preserve">HIER WOHNTE / BLUME BLENDA / BECKER / GEB. ALS BECKER 1883 / VERHAFTET 1.10.1943 / DEPORTIERT 1943 / THERESIENSTADT / BEFREIT</t>
  </si>
  <si>
    <t xml:space="preserve">https://snublesten.dk/snublesten/blume-blenda-becker/</t>
  </si>
  <si>
    <t xml:space="preserve">Stolperstein für Blume Blenda Becker (Kopenhagen).jpg</t>
  </si>
  <si>
    <t xml:space="preserve">DK-0165</t>
  </si>
  <si>
    <t xml:space="preserve">Hirsch 'Herman' Becker</t>
  </si>
  <si>
    <t xml:space="preserve">https://snublesten.dk/snublesten/hirsch-herman-becker/</t>
  </si>
  <si>
    <t xml:space="preserve">DK-0166</t>
  </si>
  <si>
    <t xml:space="preserve">Salomon Moses Becker</t>
  </si>
  <si>
    <t xml:space="preserve">HIER WOHNTE / SALOMON MOSES / BECKER / GEBOREN 1880 / VERHAFTET 1.10.1943 / DEPORTIERT 1943 / THERESIENSTADT / UMGEKOMMEN 21.2.1944</t>
  </si>
  <si>
    <t xml:space="preserve">https://snublesten.dk/snublesten/salomon-moses-becker/</t>
  </si>
  <si>
    <t xml:space="preserve">Stolperstein für Salomon Moses Becker (Kopenhagen).jpg</t>
  </si>
  <si>
    <t xml:space="preserve">DK-0167</t>
  </si>
  <si>
    <t xml:space="preserve">Rose Kielberg</t>
  </si>
  <si>
    <t xml:space="preserve">Vermlandsgade 18</t>
  </si>
  <si>
    <t xml:space="preserve">HER BOEDE ROSE KIELBERG FØDT GRAFF 1877 ARRESTERET 1.10.1943 DEPORTERET 1943 THERESIENSTADT MYRDET 28.3.1944</t>
  </si>
  <si>
    <t xml:space="preserve">HIER WOHNTE / ROSE KIELBERG / GEB. GRAFF 1877 / VERHAFTET 1.10.1943 / DEPORTIERT 1943 / THERESIENSTADT / ERMORDET 28.3.1944</t>
  </si>
  <si>
    <t xml:space="preserve">https://snublesten.dk/snublesten/rose-kielberg/</t>
  </si>
  <si>
    <t xml:space="preserve">12300516015</t>
  </si>
  <si>
    <t xml:space="preserve">Stolperstein für Rose Kielberg (Kopenhagen).jpg</t>
  </si>
  <si>
    <t xml:space="preserve">DK-0168</t>
  </si>
  <si>
    <t xml:space="preserve">Rosalie Galathea Salomon</t>
  </si>
  <si>
    <t xml:space="preserve">Vester Voldgade 92</t>
  </si>
  <si>
    <t xml:space="preserve">1552</t>
  </si>
  <si>
    <t xml:space="preserve">HIER WOHNTE / ROSALIE GALATHEA / SALOMON / GEB. COHEN 1860 / VERHAFTET 2.10.1943 / DEPORTIERT / THERESIENSTADT / UMGEKOMMEN 18.11.1943</t>
  </si>
  <si>
    <t xml:space="preserve">https://snublesten.dk/snublesten/rosalie-galathea-salomon/</t>
  </si>
  <si>
    <t xml:space="preserve">13136761371 (?)</t>
  </si>
  <si>
    <t xml:space="preserve">Stolperstein für Rosalie Galathea Salomon (Kopenhagen).jpg</t>
  </si>
  <si>
    <t xml:space="preserve">DK-0169</t>
  </si>
  <si>
    <t xml:space="preserve">Annie Smaalann</t>
  </si>
  <si>
    <t xml:space="preserve">Vibevej 45</t>
  </si>
  <si>
    <t xml:space="preserve">HIER WOHNTE / ANNIE SMAALANN / GEBOREN 1930 / VERHAFTET 4.10.1943 / DEPORTIERT 1943 / THERESIENSTADT / BEFREIT</t>
  </si>
  <si>
    <t xml:space="preserve">https://snublesten.dk/snublesten/annie-smaalan/</t>
  </si>
  <si>
    <t xml:space="preserve">Stolperstein für Annie Smaalann (Kopenhagen).jpg</t>
  </si>
  <si>
    <t xml:space="preserve">DK-0170</t>
  </si>
  <si>
    <t xml:space="preserve">David Ruben Gendlin</t>
  </si>
  <si>
    <t xml:space="preserve">Ægirsgade 41</t>
  </si>
  <si>
    <t xml:space="preserve">https://snublesten.dk/snublesten/david-ruben-gendlin/</t>
  </si>
  <si>
    <t xml:space="preserve">DK-0171</t>
  </si>
  <si>
    <t xml:space="preserve">Leif Gendlin</t>
  </si>
  <si>
    <t xml:space="preserve">https://snublesten.dk/snublesten/leif-gendlin/</t>
  </si>
  <si>
    <t xml:space="preserve">DK-0172</t>
  </si>
  <si>
    <t xml:space="preserve">Sara Gendlin</t>
  </si>
  <si>
    <t xml:space="preserve">https://snublesten.dk/snublesten/sara-gendlin/</t>
  </si>
  <si>
    <t xml:space="preserve">DK-0173</t>
  </si>
  <si>
    <t xml:space="preserve">Elisabeth Bomhoff</t>
  </si>
  <si>
    <t xml:space="preserve">Langs Hegnet 28B</t>
  </si>
  <si>
    <t xml:space="preserve">2800</t>
  </si>
  <si>
    <t xml:space="preserve">Kongens Lyngby</t>
  </si>
  <si>
    <t xml:space="preserve">HIER WOHNTE / ELISABETH BOMHOFF / GEB. ALS NIELSEN 1912 / UNTERSTÜTZTE DIE / WIDERSTANDSBEWEGUNG / VERHAFTET 18.10.1944 / INTERNIERUNGSLAGER FRØSLEV / BEFREIT</t>
  </si>
  <si>
    <t xml:space="preserve">https://snublesten.dk/snublesten/elisabeth-bomhoff/</t>
  </si>
  <si>
    <t xml:space="preserve">Stolperstein für Elisabeth Bomhoff (Kongens Lyngby).jpg</t>
  </si>
  <si>
    <t xml:space="preserve">DK-0174</t>
  </si>
  <si>
    <t xml:space="preserve">Helmer Bomhoff</t>
  </si>
  <si>
    <t xml:space="preserve">HIER WOHNTE / HELMER BOMHOFF / GEB. 1916 / UNTERSTÜTZTE DIE / WIDERSTANDSBEWEGUNG / VERHAFTET 18.10.1944 / INTERNIERUNGSLAGER FRØSLEV / BEFREIT</t>
  </si>
  <si>
    <t xml:space="preserve">https://snublesten.dk/snublesten/helmer-bomhoff/</t>
  </si>
  <si>
    <t xml:space="preserve">Stolperstein für Helmer Bomhoff (Kongens Lyngby).jpg</t>
  </si>
  <si>
    <t xml:space="preserve">DK-0175</t>
  </si>
  <si>
    <t xml:space="preserve">Jacob Cipikoff</t>
  </si>
  <si>
    <t xml:space="preserve">Skeltoftevej 75</t>
  </si>
  <si>
    <t xml:space="preserve">https://snublesten.dk/snublesten/jacob-cipikoff/</t>
  </si>
  <si>
    <t xml:space="preserve">DK-0176</t>
  </si>
  <si>
    <t xml:space="preserve">Bent Christensen</t>
  </si>
  <si>
    <t xml:space="preserve">Fjordvej 19</t>
  </si>
  <si>
    <t xml:space="preserve">5800</t>
  </si>
  <si>
    <t xml:space="preserve">2024-05-04</t>
  </si>
  <si>
    <t xml:space="preserve">https://www.snublestenfyn.dk/snublesten-i-nyborg</t>
  </si>
  <si>
    <t xml:space="preserve">Henrettet i Ryvangen 28.3.1945</t>
  </si>
  <si>
    <t xml:space="preserve">DK-0177</t>
  </si>
  <si>
    <t xml:space="preserve">Bendt Stentoft</t>
  </si>
  <si>
    <t xml:space="preserve">Frisengårdsvej 73</t>
  </si>
  <si>
    <t xml:space="preserve">DK-0178</t>
  </si>
  <si>
    <t xml:space="preserve">Max Faden</t>
  </si>
  <si>
    <t xml:space="preserve">Holebækvej 4</t>
  </si>
  <si>
    <t xml:space="preserve">5871</t>
  </si>
  <si>
    <t xml:space="preserve">Frørup</t>
  </si>
  <si>
    <t xml:space="preserve">https://snublesten.dk/snublesten/max-faden/</t>
  </si>
  <si>
    <t xml:space="preserve">DK-0179</t>
  </si>
  <si>
    <t xml:space="preserve">Henning Børge Hansen</t>
  </si>
  <si>
    <t xml:space="preserve">Skippergade 12</t>
  </si>
  <si>
    <t xml:space="preserve">DK-0180</t>
  </si>
  <si>
    <t xml:space="preserve">Svend Holm</t>
  </si>
  <si>
    <t xml:space="preserve">Vindingevej 36</t>
  </si>
  <si>
    <t xml:space="preserve">Ud for Nyborg Fængsel (arbejdssted)</t>
  </si>
  <si>
    <t xml:space="preserve">DK-0181</t>
  </si>
  <si>
    <t xml:space="preserve">Ulrik Dircks</t>
  </si>
  <si>
    <t xml:space="preserve">Bangs Allé 7</t>
  </si>
  <si>
    <t xml:space="preserve">2022-06-09</t>
  </si>
  <si>
    <t xml:space="preserve">https://www.snublestenfyn.dk/snublesten-i-odense</t>
  </si>
  <si>
    <t xml:space="preserve">Stolperstein für Ulrik Dircks (Odense).jpg</t>
  </si>
  <si>
    <t xml:space="preserve">Skal verificeres</t>
  </si>
  <si>
    <t xml:space="preserve">Clearingmyrdet uden for sit hjem 9.11.1944. Adresse udledt af Commons-foto 'Stolperstein Bangs Allé 7'</t>
  </si>
  <si>
    <t xml:space="preserve">DK-0182</t>
  </si>
  <si>
    <t xml:space="preserve">Ruth Bertha Nebel</t>
  </si>
  <si>
    <t xml:space="preserve">Buchwaldsgade 38</t>
  </si>
  <si>
    <t xml:space="preserve">5000</t>
  </si>
  <si>
    <t xml:space="preserve">Odense C</t>
  </si>
  <si>
    <t xml:space="preserve">Stolperstein für Ruth Bertha Nebel (Odense).jpg</t>
  </si>
  <si>
    <t xml:space="preserve">Adresse udledt af Commons-foto 'Stolperstein Buchwaldsgade 38' taget samme dag</t>
  </si>
  <si>
    <t xml:space="preserve">DK-0183</t>
  </si>
  <si>
    <t xml:space="preserve">Ernst Peter Sofus Madsen</t>
  </si>
  <si>
    <t xml:space="preserve">Christian den IX's Vej 14</t>
  </si>
  <si>
    <t xml:space="preserve">5230</t>
  </si>
  <si>
    <t xml:space="preserve">Odense M</t>
  </si>
  <si>
    <t xml:space="preserve">2021-08-08</t>
  </si>
  <si>
    <t xml:space="preserve">Stolperstein für Ernst Peter Madsen (Odense).jpg</t>
  </si>
  <si>
    <t xml:space="preserve">DK-0184</t>
  </si>
  <si>
    <t xml:space="preserve">Charles Børge Johansen</t>
  </si>
  <si>
    <t xml:space="preserve">Flakhaven 2</t>
  </si>
  <si>
    <t xml:space="preserve">Stolperstein für Charles Borge Johansen (Odense).jpg</t>
  </si>
  <si>
    <t xml:space="preserve">DK-0185</t>
  </si>
  <si>
    <t xml:space="preserve">Svend Børge Johansen</t>
  </si>
  <si>
    <t xml:space="preserve">Stolperstein für Svend Borge Rasmussen (Odense).jpg</t>
  </si>
  <si>
    <t xml:space="preserve">NAVNEKONFLIKT: Snublesten Fyn skriver 'Svend Børge Johansen', Commons-filen 'Svend Borge Rasmussen'. Politimand skudt 19.9.1944 ved politistationen; adresse udledt</t>
  </si>
  <si>
    <t xml:space="preserve">DK-0186</t>
  </si>
  <si>
    <t xml:space="preserve">Harry Cecil Hansen</t>
  </si>
  <si>
    <t xml:space="preserve">Godthåbsgade 33</t>
  </si>
  <si>
    <t xml:space="preserve">2026-02-14</t>
  </si>
  <si>
    <t xml:space="preserve">Modstandsmand</t>
  </si>
  <si>
    <t xml:space="preserve">DK-0187</t>
  </si>
  <si>
    <t xml:space="preserve">Axel Mogens Metz</t>
  </si>
  <si>
    <t xml:space="preserve">Hjallesevej 98</t>
  </si>
  <si>
    <t xml:space="preserve">Her boede Axel Mogens Metz født 1903 arresteret 2.10.1943 deporteret 1943 Theresienstadt omkommet 12.3.1944</t>
  </si>
  <si>
    <t xml:space="preserve">https://snublesten.dk/snublesten/axel-mogens-metz/</t>
  </si>
  <si>
    <t xml:space="preserve">8995512612</t>
  </si>
  <si>
    <t xml:space="preserve">Stolperstein für Axel Mogens Metz (Odense).jpg</t>
  </si>
  <si>
    <t xml:space="preserve">Står på begge gruppers sider</t>
  </si>
  <si>
    <t xml:space="preserve">DK-0188</t>
  </si>
  <si>
    <t xml:space="preserve">Gustav Christgau</t>
  </si>
  <si>
    <t xml:space="preserve">Hunderupvej 220</t>
  </si>
  <si>
    <t xml:space="preserve">Stolperstein für Gustav Christgau (Odense).jpg</t>
  </si>
  <si>
    <t xml:space="preserve">DK-0189</t>
  </si>
  <si>
    <t xml:space="preserve">Hans Jørgen Andersen</t>
  </si>
  <si>
    <t xml:space="preserve">Ingrids Allé 3</t>
  </si>
  <si>
    <t xml:space="preserve">5250</t>
  </si>
  <si>
    <t xml:space="preserve">Odense SV</t>
  </si>
  <si>
    <t xml:space="preserve">Stolperstein für Hans Jorgen Andersen (Odense).jpg</t>
  </si>
  <si>
    <t xml:space="preserve">DK-0190</t>
  </si>
  <si>
    <t xml:space="preserve">Agnes Jørgine Margrethe Hansen</t>
  </si>
  <si>
    <t xml:space="preserve">Kirkesvinget 10</t>
  </si>
  <si>
    <t xml:space="preserve">5210</t>
  </si>
  <si>
    <t xml:space="preserve">Odense NV</t>
  </si>
  <si>
    <t xml:space="preserve">Stolperstein für Agnes Margrethe Hansen (Odense).jpg</t>
  </si>
  <si>
    <t xml:space="preserve">DK-0191</t>
  </si>
  <si>
    <t xml:space="preserve">Ivan Adriansen</t>
  </si>
  <si>
    <t xml:space="preserve">Kochsgade 94</t>
  </si>
  <si>
    <t xml:space="preserve">Stolperstein für Ivan Adriansen (Odense).jpg</t>
  </si>
  <si>
    <t xml:space="preserve">DK-0192</t>
  </si>
  <si>
    <t xml:space="preserve">Aksel Ejler Andersen</t>
  </si>
  <si>
    <t xml:space="preserve">Ny Kongevej 46</t>
  </si>
  <si>
    <t xml:space="preserve">Stolperstein für Aksel Ejler Andersen (Odense).jpg</t>
  </si>
  <si>
    <t xml:space="preserve">DK-0193</t>
  </si>
  <si>
    <t xml:space="preserve">Gunnar Carlo Nielsen</t>
  </si>
  <si>
    <t xml:space="preserve">Prinsesse Maries Allé 25</t>
  </si>
  <si>
    <t xml:space="preserve">Stolperstein für Gunnar Carlo Nielsen (Odense).jpg</t>
  </si>
  <si>
    <t xml:space="preserve">Kilden skriver 'Prins. Maries Alle 25'</t>
  </si>
  <si>
    <t xml:space="preserve">DK-0194</t>
  </si>
  <si>
    <t xml:space="preserve">Orla Henriksen</t>
  </si>
  <si>
    <t xml:space="preserve">Store Glasvej 11</t>
  </si>
  <si>
    <t xml:space="preserve">Stolperstein für Orla Henriksen (Odense).jpg</t>
  </si>
  <si>
    <t xml:space="preserve">DK-0195</t>
  </si>
  <si>
    <t xml:space="preserve">Bent von Müllen</t>
  </si>
  <si>
    <t xml:space="preserve">Ud for Odense Teater</t>
  </si>
  <si>
    <t xml:space="preserve">2024-04-09</t>
  </si>
  <si>
    <t xml:space="preserve">Clearingmyrdet 29.12.1944 ved sceneindgangen. Præcis adresse mangler</t>
  </si>
  <si>
    <t xml:space="preserve">DK-0196</t>
  </si>
  <si>
    <t xml:space="preserve">Børge Thomsen</t>
  </si>
  <si>
    <t xml:space="preserve">Søren Møllers Gade 19</t>
  </si>
  <si>
    <t xml:space="preserve">8900</t>
  </si>
  <si>
    <t xml:space="preserve">https://snublesten.dk/snublesten/boerge-thomsen/</t>
  </si>
  <si>
    <t xml:space="preserve">Kilden staver 'Søren Mølllers Gade'</t>
  </si>
  <si>
    <t xml:space="preserve">DK-0197</t>
  </si>
  <si>
    <t xml:space="preserve">Ester Hartogsohn</t>
  </si>
  <si>
    <t xml:space="preserve">Tørvebryggen 4-6</t>
  </si>
  <si>
    <t xml:space="preserve">https://snublesten.dk/snublesten/ester-hartogsohn/</t>
  </si>
  <si>
    <t xml:space="preserve">DK-0198</t>
  </si>
  <si>
    <t xml:space="preserve">John Philip Hartogsohn</t>
  </si>
  <si>
    <t xml:space="preserve">https://snublesten.dk/snublesten/john-philip-hartogsohn/</t>
  </si>
  <si>
    <t xml:space="preserve">DK-0199</t>
  </si>
  <si>
    <t xml:space="preserve">Kurt Philip Hartogsohn</t>
  </si>
  <si>
    <t xml:space="preserve">https://snublesten.dk/snublesten/kurt-philip-hartogsohn/</t>
  </si>
  <si>
    <t xml:space="preserve">DK-0200</t>
  </si>
  <si>
    <t xml:space="preserve">Philip Michael Hartogsohn</t>
  </si>
  <si>
    <t xml:space="preserve">https://snublesten.dk/snublesten/philip-michael-hartogsohn/</t>
  </si>
  <si>
    <t xml:space="preserve">DK-0201</t>
  </si>
  <si>
    <t xml:space="preserve">William Alfred Martin Mikkelsen</t>
  </si>
  <si>
    <t xml:space="preserve">Kullinggade 2</t>
  </si>
  <si>
    <t xml:space="preserve">5700</t>
  </si>
  <si>
    <t xml:space="preserve">2022-08-12</t>
  </si>
  <si>
    <t xml:space="preserve">https://www.snublestenfyn.dk/snublesten-i-svendborg-sk%C3%A5rup</t>
  </si>
  <si>
    <t xml:space="preserve">DK-0202</t>
  </si>
  <si>
    <t xml:space="preserve">Harald Halberg</t>
  </si>
  <si>
    <t xml:space="preserve">Niels Juels Vej 37</t>
  </si>
  <si>
    <t xml:space="preserve">Clearingmyrdet 21.4.1945</t>
  </si>
  <si>
    <t xml:space="preserve">DK-0203</t>
  </si>
  <si>
    <t xml:space="preserve">Oleg Niels Alexander Saucant</t>
  </si>
  <si>
    <t xml:space="preserve">Døde 1949 af følgerne</t>
  </si>
  <si>
    <t xml:space="preserve">Skårup Vinkelvej 9</t>
  </si>
  <si>
    <t xml:space="preserve">5881</t>
  </si>
  <si>
    <t xml:space="preserve">Skårup Fyn</t>
  </si>
  <si>
    <t xml:space="preserve">Kilden skriver både 'Skårup Vinkelvej 9' og 'Skårup Vinkel 9'</t>
  </si>
  <si>
    <t xml:space="preserve">DK-0204</t>
  </si>
  <si>
    <t xml:space="preserve">Alfred Philip Møller</t>
  </si>
  <si>
    <t xml:space="preserve">6780</t>
  </si>
  <si>
    <t xml:space="preserve">Skærbæk</t>
  </si>
  <si>
    <t xml:space="preserve">Commons (foto-GPS)</t>
  </si>
  <si>
    <t xml:space="preserve">2025-05-05</t>
  </si>
  <si>
    <t xml:space="preserve">https://historiskforeningskaerbaek.dk/om/snublesten</t>
  </si>
  <si>
    <t xml:space="preserve">20260313 Stolperstein Moller Alfred Philip 1904.jpg</t>
  </si>
  <si>
    <t xml:space="preserve">Kun kendt fra Commons-fotos; foreningens liste ikke gennemgået. Adresse mangler</t>
  </si>
  <si>
    <t xml:space="preserve">DK-0205</t>
  </si>
  <si>
    <t xml:space="preserve">Herman Svendsen</t>
  </si>
  <si>
    <t xml:space="preserve">20260313 Stolperstein Svendsen Herman 1906.jpg</t>
  </si>
  <si>
    <t xml:space="preserve">DK-0206</t>
  </si>
  <si>
    <t xml:space="preserve">Johann Nielsen</t>
  </si>
  <si>
    <t xml:space="preserve">20260313 Stolperstein Nielsen Johann 1913.jpg</t>
  </si>
  <si>
    <t xml:space="preserve">DK-0207</t>
  </si>
  <si>
    <t xml:space="preserve">Chaja Ellberger</t>
  </si>
  <si>
    <t xml:space="preserve">Vilstrupvej 2</t>
  </si>
  <si>
    <t xml:space="preserve">7100</t>
  </si>
  <si>
    <t xml:space="preserve">https://snublesten.dk/snublesten/chaja-ellberger/</t>
  </si>
  <si>
    <t xml:space="preserve">DK-0208</t>
  </si>
  <si>
    <t xml:space="preserve">Max Ellberger</t>
  </si>
  <si>
    <t xml:space="preserve">https://snublesten.dk/snublesten/max-ellberger/</t>
  </si>
  <si>
    <t xml:space="preserve">DK-0209</t>
  </si>
  <si>
    <t xml:space="preserve">Viktoria Ellberger</t>
  </si>
  <si>
    <t xml:space="preserve">https://snublesten.dk/snublesten/viktoria-viola-ellberger/</t>
  </si>
  <si>
    <t xml:space="preserve">DK-0210</t>
  </si>
  <si>
    <t xml:space="preserve">Leo Købmann</t>
  </si>
  <si>
    <t xml:space="preserve">Kalvehave (?)</t>
  </si>
  <si>
    <t xml:space="preserve">OpenStreetMap</t>
  </si>
  <si>
    <t xml:space="preserve">2023-10-10</t>
  </si>
  <si>
    <t xml:space="preserve">Her boede Leo Købmann Født 1904 Arresteret 28.12.1944 Deporteret 1945 Dachau Befriet</t>
  </si>
  <si>
    <t xml:space="preserve">https://www.openstreetmap.org/node/12782095035</t>
  </si>
  <si>
    <t xml:space="preserve">12782095035</t>
  </si>
  <si>
    <t xml:space="preserve">Kun kendt fra OSM. By udledt af koordinat</t>
  </si>
  <si>
    <t xml:space="preserve">Sten / emne</t>
  </si>
  <si>
    <t xml:space="preserve">Problem</t>
  </si>
  <si>
    <t xml:space="preserve">Kilder i konflikt</t>
  </si>
  <si>
    <t xml:space="preserve">Forslag til afklaring</t>
  </si>
  <si>
    <t xml:space="preserve">To forskellige adresser</t>
  </si>
  <si>
    <t xml:space="preserve">snublesten.dk: Krystalgade 12 · de.wikipedia: Vibevej 45</t>
  </si>
  <si>
    <t xml:space="preserve">Fotografér stenen eller spørg Snublesten Danmark</t>
  </si>
  <si>
    <t xml:space="preserve">Svend Børge Johansen (Odense)</t>
  </si>
  <si>
    <t xml:space="preserve">To forskellige efternavne</t>
  </si>
  <si>
    <t xml:space="preserve">snublestenfyn.dk: Johansen · Commons-fil: 'Svend Borge Rasmussen'</t>
  </si>
  <si>
    <t xml:space="preserve">Tjek fotoet på Commons eller Odense Stadsarkiv</t>
  </si>
  <si>
    <t xml:space="preserve">Postnr og by passer ikke sammen</t>
  </si>
  <si>
    <t xml:space="preserve">snublesten.dk: '2770 Dragør' (2770 = Kastrup, Dragør = 2791)</t>
  </si>
  <si>
    <t xml:space="preserve">Koordinaten ligger i Dragør – sandsynligvis forkert postnr</t>
  </si>
  <si>
    <t xml:space="preserve">Navnet staves anderledes på stenen</t>
  </si>
  <si>
    <t xml:space="preserve">Indskrift ifølge de.wikipedia: 'ARTHUR ASHER'</t>
  </si>
  <si>
    <t xml:space="preserve">Tjek foto – hvis stenen er fejlgraveret, noteres det, ikke rettes</t>
  </si>
  <si>
    <t xml:space="preserve">Indskrift ifølge de.wikipedia: 'EMIL VALDEMR'</t>
  </si>
  <si>
    <t xml:space="preserve">Som ovenfor</t>
  </si>
  <si>
    <t xml:space="preserve">Ada Elvira og Gunnar Johan Bomhoff</t>
  </si>
  <si>
    <t xml:space="preserve">Adresse-præcision</t>
  </si>
  <si>
    <t xml:space="preserve">snublesten.dk: Harsdorffsvej 7 · de.wikipedia: 'Harsdorffsvej/Bomhoffs Have'</t>
  </si>
  <si>
    <t xml:space="preserve">Ingen konflikt, men tjek stenens placering</t>
  </si>
  <si>
    <t xml:space="preserve">Stavemåde af vejnavn</t>
  </si>
  <si>
    <t xml:space="preserve">snublesten.dk: Vodroffslund · de.wikipedia: Vordruffslund</t>
  </si>
  <si>
    <t xml:space="preserve">Vodroffslund er den gængse stavemåde</t>
  </si>
  <si>
    <t xml:space="preserve">Ruth Bertha Nebel, Ulrik Dircks (Odense)</t>
  </si>
  <si>
    <t xml:space="preserve">Adresse udledt, ikke oplyst</t>
  </si>
  <si>
    <t xml:space="preserve">Kun Commons-fotos af adresser taget samme dag (Buchwaldsgade 38, Bangs Allé 7)</t>
  </si>
  <si>
    <t xml:space="preserve">Bekræft hos Snublesten Fyn</t>
  </si>
  <si>
    <t xml:space="preserve">12 OSM-noder i indre København</t>
  </si>
  <si>
    <t xml:space="preserve">Uden navn</t>
  </si>
  <si>
    <t xml:space="preserve">OpenStreetMap: kun position + link til de.wikipedia</t>
  </si>
  <si>
    <t xml:space="preserve">Når registret er bekræftet: tilføj name/inscription/subject:wikidata i OSM</t>
  </si>
  <si>
    <t xml:space="preserve">OSM-node 13526817060 ved Horsens</t>
  </si>
  <si>
    <t xml:space="preserve">Fejltagget</t>
  </si>
  <si>
    <t xml:space="preserve">Krigergrav fra 1866 tagget som memorial=stolperstein</t>
  </si>
  <si>
    <t xml:space="preserve">Ret tagget i OSM</t>
  </si>
  <si>
    <t xml:space="preserve">Snublesten Danmark: 'Søren Mølllers Gade'</t>
  </si>
  <si>
    <t xml:space="preserve">Stavefejl i kilden</t>
  </si>
  <si>
    <t xml:space="preserve">Rettet til Søren Møllers Gade i registret</t>
  </si>
  <si>
    <t xml:space="preserve">Kan nævnes for gruppen</t>
  </si>
  <si>
    <t xml:space="preserve">Område / gruppe</t>
  </si>
  <si>
    <t xml:space="preserve">Hvad vi ved</t>
  </si>
  <si>
    <t xml:space="preserve">Kilde der skal gennemgås</t>
  </si>
  <si>
    <t xml:space="preserve">Fredericia og Taulov</t>
  </si>
  <si>
    <t xml:space="preserve">Linket fra snublesten.dk – ingen sten i registret endnu</t>
  </si>
  <si>
    <t xml:space="preserve">https://www.fredericiahistorie.dk/side/snublesten-i-fredericia-og-taulov</t>
  </si>
  <si>
    <t xml:space="preserve">Ikke indsamlet</t>
  </si>
  <si>
    <t xml:space="preserve">Aalborg</t>
  </si>
  <si>
    <t xml:space="preserve">http://snublestenaalborg.dk/</t>
  </si>
  <si>
    <t xml:space="preserve">https://nisjepsen.dk/skabelon.asp?side=17&amp;subside=53</t>
  </si>
  <si>
    <t xml:space="preserve">3 sten kendt fra Commons-fotos (nedlagt 5. maj 2025), adresser mangler</t>
  </si>
  <si>
    <t xml:space="preserve">Delvist</t>
  </si>
  <si>
    <t xml:space="preserve">Frederikshavn Kommune</t>
  </si>
  <si>
    <t xml:space="preserve">Nordjyllands Kystmuseums eget projekt</t>
  </si>
  <si>
    <t xml:space="preserve">Projektets egne lister / bogen</t>
  </si>
  <si>
    <t xml:space="preserve">Tilføjes af Jakob</t>
  </si>
  <si>
    <t xml:space="preserve">Vordingborg / Kalvehave</t>
  </si>
  <si>
    <t xml:space="preserve">1 sten (Leo Købmann, 2023) kendt kun fra OpenStreetMap</t>
  </si>
  <si>
    <t xml:space="preserve">Lokalarkiv / lokalavis</t>
  </si>
  <si>
    <t xml:space="preserve">Odense – unavngivne fotos</t>
  </si>
  <si>
    <t xml:space="preserve">17 Commons-fotos 'Stolperstein in Odense N' uden navn</t>
  </si>
  <si>
    <t xml:space="preserve">Commons: Category:Stolpersteine in Odense</t>
  </si>
  <si>
    <t xml:space="preserve">Kan bruges til at bekræfte indskrifter</t>
  </si>
  <si>
    <t xml:space="preserve">Dansk original-indskrift</t>
  </si>
  <si>
    <t xml:space="preserve">Kun 6 af stenene har den danske tekst registreret</t>
  </si>
  <si>
    <t xml:space="preserve">Fotos på Commons og hos grupperne</t>
  </si>
  <si>
    <t xml:space="preserve">Største hul i datasættet</t>
  </si>
  <si>
    <t xml:space="preserve">Felt</t>
  </si>
  <si>
    <t xml:space="preserve">Betydning</t>
  </si>
  <si>
    <t xml:space="preserve">Hvem udfylder</t>
  </si>
  <si>
    <t xml:space="preserve">Registrets eget løbenummer. Ændres ikke, når det først er tildelt.</t>
  </si>
  <si>
    <t xml:space="preserve">Claude / import</t>
  </si>
  <si>
    <t xml:space="preserve">Omkom / Overlevede – udledt af indskriften. Tomt hvor indskriften mangler.</t>
  </si>
  <si>
    <t xml:space="preserve">Hvor koordinaten kommer fra (snublesten.dk, Commons-foto, OSM).</t>
  </si>
  <si>
    <t xml:space="preserve">Gruppen der satte stenen.</t>
  </si>
  <si>
    <t xml:space="preserve">Den danske tekst på stenen, ordret. Den vigtigste mangel.</t>
  </si>
  <si>
    <t xml:space="preserve">Du</t>
  </si>
  <si>
    <t xml:space="preserve">Tysk oversættelse fra de.wikipedia – ikke stenens egen tekst.</t>
  </si>
  <si>
    <t xml:space="preserve">Den side oplysningerne primært er hentet fra.</t>
  </si>
  <si>
    <t xml:space="preserve">'(?)' betyder: noden ligger ved adressen, men har intet navn – hvilken sten den er, er ikke afgjort.</t>
  </si>
  <si>
    <t xml:space="preserve">Fra gruppens egen liste / Fra gruppens egen side / Skal verificeres / Afvigelse – tjek</t>
  </si>
  <si>
    <t xml:space="preserve">Afvigelser, udledninger og forbehold.</t>
  </si>
  <si>
    <t xml:space="preserve">Rediger især</t>
  </si>
  <si>
    <t xml:space="preserve">Indskrift (dansk), Status og Note. Nye sten tilføjes nederst i Register – tabellen udvider sig selv, og Oversigt tæller med.</t>
  </si>
  <si>
    <t xml:space="preserve">Eksempelrække</t>
  </si>
  <si>
    <t xml:space="preserve">DK-0148 Pinkus Katz er den mest komplette række: alle felter udfyldt fra fire kilder.</t>
  </si>
  <si>
    <t xml:space="preserve">Rettigheder</t>
  </si>
  <si>
    <t xml:space="preserve">Navne, adresser, datoer og koordinater er fakta. Biografier og fotos hos grupperne er ophavsretligt beskyttede og er ikke kopieret. Publicér ikke registret som eget datasæt før aftale med grupperne.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</si>
</sst>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3F35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A3F35"/>
          <bgColor rgb="FF000000"/>
        </patternFill>
      </fill>
    </dxf>
    <dxf>
      <fill>
        <patternFill patternType="solid">
          <fgColor rgb="FFF6D7D2"/>
          <bgColor rgb="FF000000"/>
        </patternFill>
      </fill>
    </dxf>
    <dxf>
      <fill>
        <patternFill patternType="solid">
          <fgColor rgb="FFFBEFC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6D7D2"/>
        </patternFill>
      </fill>
    </dxf>
    <dxf>
      <fill>
        <patternFill>
          <bgColor rgb="FFFBEF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F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7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3F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er" displayName="Register" ref="A1:W211" headerRowCount="1" totalsRowCount="0" totalsRowShown="0">
  <autoFilter ref="A1:W211"/>
  <tableColumns count="23">
    <tableColumn id="1" name="ID"/>
    <tableColumn id="2" name="Navn"/>
    <tableColumn id="3" name="Født (år)"/>
    <tableColumn id="4" name="Udfald"/>
    <tableColumn id="5" name="Adresse"/>
    <tableColumn id="6" name="Postnr"/>
    <tableColumn id="7" name="By"/>
    <tableColumn id="8" name="Kommune"/>
    <tableColumn id="9" name="Bredde"/>
    <tableColumn id="10" name="Længde"/>
    <tableColumn id="11" name="Koordinat-kilde"/>
    <tableColumn id="12" name="Nedlagt (år)"/>
    <tableColumn id="13" name="Nedlagt (dato)"/>
    <tableColumn id="14" name="Sat af"/>
    <tableColumn id="15" name="Indskrift (dansk, original)"/>
    <tableColumn id="16" name="Indskrift (tysk oversættelse, de.wikipedia)"/>
    <tableColumn id="17" name="Primær kilde"/>
    <tableColumn id="18" name="snublesten.dk-ID"/>
    <tableColumn id="19" name="Wikidata"/>
    <tableColumn id="20" name="OSM-node"/>
    <tableColumn id="21" name="Commons-foto"/>
    <tableColumn id="22" name="Status"/>
    <tableColumn id="23" name="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4" min="3" style="0" width="18"/>
    <col collapsed="false" customWidth="true" hidden="false" outlineLevel="0" max="5" min="5" style="0" width="3"/>
    <col collapsed="false" customWidth="true" hidden="false" outlineLevel="0" max="6" min="6" style="0" width="34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  <c r="B4" s="3" t="n">
        <f aca="false">COUNTA(Register!$A$2:$A$2000)</f>
        <v>210</v>
      </c>
    </row>
    <row r="5" customFormat="false" ht="15" hidden="false" customHeight="false" outlineLevel="0" collapsed="false">
      <c r="A5" s="2" t="s">
        <v>3</v>
      </c>
      <c r="B5" s="3" t="n">
        <f aca="false">COUNT(Register!$I$2:$I$2000)</f>
        <v>187</v>
      </c>
    </row>
    <row r="6" customFormat="false" ht="15" hidden="false" customHeight="false" outlineLevel="0" collapsed="false">
      <c r="A6" s="2" t="s">
        <v>4</v>
      </c>
      <c r="B6" s="3" t="n">
        <f aca="false">COUNTIF(Register!$O$2:$O$2000,"?*")</f>
        <v>6</v>
      </c>
    </row>
    <row r="7" customFormat="false" ht="15" hidden="false" customHeight="false" outlineLevel="0" collapsed="false">
      <c r="A7" s="2" t="s">
        <v>5</v>
      </c>
      <c r="B7" s="3" t="n">
        <f aca="false">COUNTIF(Register!$S$2:$S$2000,"Q*")</f>
        <v>10</v>
      </c>
    </row>
    <row r="8" customFormat="false" ht="15" hidden="false" customHeight="false" outlineLevel="0" collapsed="false">
      <c r="A8" s="2" t="s">
        <v>6</v>
      </c>
      <c r="B8" s="3" t="n">
        <f aca="false">COUNTIF(Register!$T$2:$T$2000,"?*")</f>
        <v>37</v>
      </c>
    </row>
    <row r="9" customFormat="false" ht="15" hidden="false" customHeight="false" outlineLevel="0" collapsed="false">
      <c r="A9" s="2" t="s">
        <v>7</v>
      </c>
      <c r="B9" s="3" t="n">
        <f aca="false">COUNTIF(Register!$V$2:$V$2000,"Skal verificeres")+COUNTIF(Register!$V$2:$V$2000,"Afvigelse – tjek")</f>
        <v>11</v>
      </c>
    </row>
    <row r="11" customFormat="false" ht="15" hidden="false" customHeight="false" outlineLevel="0" collapsed="false">
      <c r="A11" s="4" t="s">
        <v>8</v>
      </c>
      <c r="B11" s="4" t="s">
        <v>9</v>
      </c>
      <c r="C11" s="4" t="s">
        <v>10</v>
      </c>
      <c r="D11" s="4" t="s">
        <v>11</v>
      </c>
      <c r="F11" s="4" t="s">
        <v>12</v>
      </c>
      <c r="G11" s="4" t="s">
        <v>9</v>
      </c>
    </row>
    <row r="12" customFormat="false" ht="15" hidden="false" customHeight="false" outlineLevel="0" collapsed="false">
      <c r="A12" s="2" t="s">
        <v>13</v>
      </c>
      <c r="B12" s="2" t="n">
        <f aca="false">COUNTIF(Register!$H$2:$H$2000,A12)</f>
        <v>107</v>
      </c>
      <c r="C12" s="2" t="n">
        <f aca="false">_xlfn.MINIFS(Register!$L$2:$L$2000,Register!$H$2:$H$2000,A12)</f>
        <v>2019</v>
      </c>
      <c r="D12" s="2" t="n">
        <f aca="false">_xlfn.MAXIFS(Register!$L$2:$L$2000,Register!$H$2:$H$2000,A12)</f>
        <v>2026</v>
      </c>
      <c r="F12" s="2" t="s">
        <v>14</v>
      </c>
      <c r="G12" s="2" t="n">
        <f aca="false">COUNTIF(Register!$N$2:$N$2000,F12)</f>
        <v>182</v>
      </c>
    </row>
    <row r="13" customFormat="false" ht="15" hidden="false" customHeight="false" outlineLevel="0" collapsed="false">
      <c r="A13" s="2" t="s">
        <v>15</v>
      </c>
      <c r="B13" s="2" t="n">
        <f aca="false">COUNTIF(Register!$H$2:$H$2000,A13)</f>
        <v>28</v>
      </c>
      <c r="C13" s="2" t="n">
        <f aca="false">_xlfn.MINIFS(Register!$L$2:$L$2000,Register!$H$2:$H$2000,A13)</f>
        <v>2019</v>
      </c>
      <c r="D13" s="2" t="n">
        <f aca="false">_xlfn.MAXIFS(Register!$L$2:$L$2000,Register!$H$2:$H$2000,A13)</f>
        <v>2026</v>
      </c>
      <c r="F13" s="2" t="s">
        <v>16</v>
      </c>
      <c r="G13" s="2" t="n">
        <f aca="false">COUNTIF(Register!$N$2:$N$2000,F13)</f>
        <v>23</v>
      </c>
    </row>
    <row r="14" customFormat="false" ht="15" hidden="false" customHeight="false" outlineLevel="0" collapsed="false">
      <c r="A14" s="2" t="s">
        <v>17</v>
      </c>
      <c r="B14" s="2" t="n">
        <f aca="false">COUNTIF(Register!$H$2:$H$2000,A14)</f>
        <v>22</v>
      </c>
      <c r="C14" s="2" t="n">
        <f aca="false">_xlfn.MINIFS(Register!$L$2:$L$2000,Register!$H$2:$H$2000,A14)</f>
        <v>2020</v>
      </c>
      <c r="D14" s="2" t="n">
        <f aca="false">_xlfn.MAXIFS(Register!$L$2:$L$2000,Register!$H$2:$H$2000,A14)</f>
        <v>2026</v>
      </c>
      <c r="F14" s="2" t="s">
        <v>18</v>
      </c>
      <c r="G14" s="2" t="n">
        <f aca="false">COUNTIF(Register!$N$2:$N$2000,F14)</f>
        <v>3</v>
      </c>
    </row>
    <row r="15" customFormat="false" ht="15" hidden="false" customHeight="false" outlineLevel="0" collapsed="false">
      <c r="A15" s="2" t="s">
        <v>19</v>
      </c>
      <c r="B15" s="2" t="n">
        <f aca="false">COUNTIF(Register!$H$2:$H$2000,A15)</f>
        <v>15</v>
      </c>
      <c r="C15" s="2" t="n">
        <f aca="false">_xlfn.MINIFS(Register!$L$2:$L$2000,Register!$H$2:$H$2000,A15)</f>
        <v>2021</v>
      </c>
      <c r="D15" s="2" t="n">
        <f aca="false">_xlfn.MAXIFS(Register!$L$2:$L$2000,Register!$H$2:$H$2000,A15)</f>
        <v>2026</v>
      </c>
      <c r="F15" s="2" t="s">
        <v>20</v>
      </c>
      <c r="G15" s="2" t="n">
        <f aca="false">COUNTIF(Register!$N$2:$N$2000,F15)</f>
        <v>1</v>
      </c>
    </row>
    <row r="16" customFormat="false" ht="15" hidden="false" customHeight="false" outlineLevel="0" collapsed="false">
      <c r="A16" s="2" t="s">
        <v>21</v>
      </c>
      <c r="B16" s="2" t="n">
        <f aca="false">COUNTIF(Register!$H$2:$H$2000,A16)</f>
        <v>5</v>
      </c>
      <c r="C16" s="2" t="n">
        <f aca="false">_xlfn.MINIFS(Register!$L$2:$L$2000,Register!$H$2:$H$2000,A16)</f>
        <v>2024</v>
      </c>
      <c r="D16" s="2" t="n">
        <f aca="false">_xlfn.MAXIFS(Register!$L$2:$L$2000,Register!$H$2:$H$2000,A16)</f>
        <v>2026</v>
      </c>
      <c r="F16" s="2" t="s">
        <v>22</v>
      </c>
      <c r="G16" s="2" t="n">
        <f aca="false">COUNTIF(Register!$N$2:$N$2000,F16)</f>
        <v>1</v>
      </c>
    </row>
    <row r="17" customFormat="false" ht="15" hidden="false" customHeight="false" outlineLevel="0" collapsed="false">
      <c r="A17" s="2" t="s">
        <v>23</v>
      </c>
      <c r="B17" s="2" t="n">
        <f aca="false">COUNTIF(Register!$H$2:$H$2000,A17)</f>
        <v>5</v>
      </c>
      <c r="C17" s="2" t="n">
        <f aca="false">_xlfn.MINIFS(Register!$L$2:$L$2000,Register!$H$2:$H$2000,A17)</f>
        <v>2021</v>
      </c>
      <c r="D17" s="2" t="n">
        <f aca="false">_xlfn.MAXIFS(Register!$L$2:$L$2000,Register!$H$2:$H$2000,A17)</f>
        <v>2021</v>
      </c>
    </row>
    <row r="18" customFormat="false" ht="15" hidden="false" customHeight="false" outlineLevel="0" collapsed="false">
      <c r="A18" s="2" t="s">
        <v>24</v>
      </c>
      <c r="B18" s="2" t="n">
        <f aca="false">COUNTIF(Register!$H$2:$H$2000,A18)</f>
        <v>5</v>
      </c>
      <c r="C18" s="2" t="n">
        <f aca="false">_xlfn.MINIFS(Register!$L$2:$L$2000,Register!$H$2:$H$2000,A18)</f>
        <v>2023</v>
      </c>
      <c r="D18" s="2" t="n">
        <f aca="false">_xlfn.MAXIFS(Register!$L$2:$L$2000,Register!$H$2:$H$2000,A18)</f>
        <v>2023</v>
      </c>
    </row>
    <row r="19" customFormat="false" ht="15" hidden="false" customHeight="false" outlineLevel="0" collapsed="false">
      <c r="A19" s="2" t="s">
        <v>25</v>
      </c>
      <c r="B19" s="2" t="n">
        <f aca="false">COUNTIF(Register!$H$2:$H$2000,A19)</f>
        <v>4</v>
      </c>
      <c r="C19" s="2" t="n">
        <f aca="false">_xlfn.MINIFS(Register!$L$2:$L$2000,Register!$H$2:$H$2000,A19)</f>
        <v>2022</v>
      </c>
      <c r="D19" s="2" t="n">
        <f aca="false">_xlfn.MAXIFS(Register!$L$2:$L$2000,Register!$H$2:$H$2000,A19)</f>
        <v>2022</v>
      </c>
    </row>
    <row r="20" customFormat="false" ht="15" hidden="false" customHeight="false" outlineLevel="0" collapsed="false">
      <c r="A20" s="2" t="s">
        <v>26</v>
      </c>
      <c r="B20" s="2" t="n">
        <f aca="false">COUNTIF(Register!$H$2:$H$2000,A20)</f>
        <v>3</v>
      </c>
      <c r="C20" s="2" t="n">
        <f aca="false">_xlfn.MINIFS(Register!$L$2:$L$2000,Register!$H$2:$H$2000,A20)</f>
        <v>2021</v>
      </c>
      <c r="D20" s="2" t="n">
        <f aca="false">_xlfn.MAXIFS(Register!$L$2:$L$2000,Register!$H$2:$H$2000,A20)</f>
        <v>2026</v>
      </c>
    </row>
    <row r="21" customFormat="false" ht="15" hidden="false" customHeight="false" outlineLevel="0" collapsed="false">
      <c r="A21" s="2" t="s">
        <v>27</v>
      </c>
      <c r="B21" s="2" t="n">
        <f aca="false">COUNTIF(Register!$H$2:$H$2000,A21)</f>
        <v>3</v>
      </c>
      <c r="C21" s="2" t="n">
        <f aca="false">_xlfn.MINIFS(Register!$L$2:$L$2000,Register!$H$2:$H$2000,A21)</f>
        <v>2023</v>
      </c>
      <c r="D21" s="2" t="n">
        <f aca="false">_xlfn.MAXIFS(Register!$L$2:$L$2000,Register!$H$2:$H$2000,A21)</f>
        <v>2023</v>
      </c>
    </row>
    <row r="22" customFormat="false" ht="15" hidden="false" customHeight="false" outlineLevel="0" collapsed="false">
      <c r="A22" s="2" t="s">
        <v>28</v>
      </c>
      <c r="B22" s="2" t="n">
        <f aca="false">COUNTIF(Register!$H$2:$H$2000,A22)</f>
        <v>3</v>
      </c>
      <c r="C22" s="2" t="n">
        <f aca="false">_xlfn.MINIFS(Register!$L$2:$L$2000,Register!$H$2:$H$2000,A22)</f>
        <v>2025</v>
      </c>
      <c r="D22" s="2" t="n">
        <f aca="false">_xlfn.MAXIFS(Register!$L$2:$L$2000,Register!$H$2:$H$2000,A22)</f>
        <v>2025</v>
      </c>
    </row>
    <row r="23" customFormat="false" ht="15" hidden="false" customHeight="false" outlineLevel="0" collapsed="false">
      <c r="A23" s="2" t="s">
        <v>29</v>
      </c>
      <c r="B23" s="2" t="n">
        <f aca="false">COUNTIF(Register!$H$2:$H$2000,A23)</f>
        <v>3</v>
      </c>
      <c r="C23" s="2" t="n">
        <f aca="false">_xlfn.MINIFS(Register!$L$2:$L$2000,Register!$H$2:$H$2000,A23)</f>
        <v>2022</v>
      </c>
      <c r="D23" s="2" t="n">
        <f aca="false">_xlfn.MAXIFS(Register!$L$2:$L$2000,Register!$H$2:$H$2000,A23)</f>
        <v>2022</v>
      </c>
    </row>
    <row r="24" customFormat="false" ht="15" hidden="false" customHeight="false" outlineLevel="0" collapsed="false">
      <c r="A24" s="2" t="s">
        <v>30</v>
      </c>
      <c r="B24" s="2" t="n">
        <f aca="false">COUNTIF(Register!$H$2:$H$2000,A24)</f>
        <v>2</v>
      </c>
      <c r="C24" s="2" t="n">
        <f aca="false">_xlfn.MINIFS(Register!$L$2:$L$2000,Register!$H$2:$H$2000,A24)</f>
        <v>2024</v>
      </c>
      <c r="D24" s="2" t="n">
        <f aca="false">_xlfn.MAXIFS(Register!$L$2:$L$2000,Register!$H$2:$H$2000,A24)</f>
        <v>2026</v>
      </c>
    </row>
    <row r="25" customFormat="false" ht="15" hidden="false" customHeight="false" outlineLevel="0" collapsed="false">
      <c r="A25" s="2" t="s">
        <v>31</v>
      </c>
      <c r="B25" s="2" t="n">
        <f aca="false">COUNTIF(Register!$H$2:$H$2000,A25)</f>
        <v>2</v>
      </c>
      <c r="C25" s="2" t="n">
        <f aca="false">_xlfn.MINIFS(Register!$L$2:$L$2000,Register!$H$2:$H$2000,A25)</f>
        <v>2022</v>
      </c>
      <c r="D25" s="2" t="n">
        <f aca="false">_xlfn.MAXIFS(Register!$L$2:$L$2000,Register!$H$2:$H$2000,A25)</f>
        <v>2022</v>
      </c>
    </row>
    <row r="26" customFormat="false" ht="15" hidden="false" customHeight="false" outlineLevel="0" collapsed="false">
      <c r="A26" s="2" t="s">
        <v>32</v>
      </c>
      <c r="B26" s="2" t="n">
        <f aca="false">COUNTIF(Register!$H$2:$H$2000,A26)</f>
        <v>1</v>
      </c>
      <c r="C26" s="2" t="n">
        <f aca="false">_xlfn.MINIFS(Register!$L$2:$L$2000,Register!$H$2:$H$2000,A26)</f>
        <v>2023</v>
      </c>
      <c r="D26" s="2" t="n">
        <f aca="false">_xlfn.MAXIFS(Register!$L$2:$L$2000,Register!$H$2:$H$2000,A26)</f>
        <v>2023</v>
      </c>
    </row>
    <row r="27" customFormat="false" ht="15" hidden="false" customHeight="false" outlineLevel="0" collapsed="false">
      <c r="A27" s="2" t="s">
        <v>33</v>
      </c>
      <c r="B27" s="2" t="n">
        <f aca="false">COUNTIF(Register!$H$2:$H$2000,A27)</f>
        <v>1</v>
      </c>
      <c r="C27" s="2" t="n">
        <f aca="false">_xlfn.MINIFS(Register!$L$2:$L$2000,Register!$H$2:$H$2000,A27)</f>
        <v>2024</v>
      </c>
      <c r="D27" s="2" t="n">
        <f aca="false">_xlfn.MAXIFS(Register!$L$2:$L$2000,Register!$H$2:$H$2000,A27)</f>
        <v>2024</v>
      </c>
    </row>
    <row r="28" customFormat="false" ht="15" hidden="false" customHeight="false" outlineLevel="0" collapsed="false">
      <c r="A28" s="2" t="s">
        <v>34</v>
      </c>
      <c r="B28" s="2" t="n">
        <f aca="false">COUNTIF(Register!$H$2:$H$2000,A28)</f>
        <v>1</v>
      </c>
      <c r="C28" s="2" t="n">
        <f aca="false">_xlfn.MINIFS(Register!$L$2:$L$2000,Register!$H$2:$H$2000,A28)</f>
        <v>2025</v>
      </c>
      <c r="D28" s="2" t="n">
        <f aca="false">_xlfn.MAXIFS(Register!$L$2:$L$2000,Register!$H$2:$H$2000,A28)</f>
        <v>2025</v>
      </c>
    </row>
    <row r="29" customFormat="false" ht="15" hidden="false" customHeight="false" outlineLevel="0" collapsed="false">
      <c r="A29" s="3" t="s">
        <v>35</v>
      </c>
      <c r="B29" s="3" t="n">
        <f aca="false">SUM(B12:B28)</f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10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6" min="15" style="0" width="45"/>
    <col collapsed="false" customWidth="true" hidden="false" outlineLevel="0" max="17" min="17" style="0" width="40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0" min="20" style="0" width="18"/>
    <col collapsed="false" customWidth="true" hidden="false" outlineLevel="0" max="21" min="21" style="0" width="40"/>
    <col collapsed="false" customWidth="true" hidden="false" outlineLevel="0" max="22" min="22" style="0" width="20"/>
    <col collapsed="false" customWidth="true" hidden="false" outlineLevel="0" max="23" min="23" style="0" width="55"/>
  </cols>
  <sheetData>
    <row r="1" customFormat="false" ht="31.5" hidden="false" customHeight="true" outlineLevel="0" collapsed="false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8</v>
      </c>
      <c r="I1" s="5" t="s">
        <v>43</v>
      </c>
      <c r="J1" s="5" t="s">
        <v>44</v>
      </c>
      <c r="K1" s="5" t="s">
        <v>45</v>
      </c>
      <c r="L1" s="5" t="s">
        <v>46</v>
      </c>
      <c r="M1" s="5" t="s">
        <v>47</v>
      </c>
      <c r="N1" s="5" t="s">
        <v>12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  <c r="V1" s="5" t="s">
        <v>55</v>
      </c>
      <c r="W1" s="5" t="s">
        <v>56</v>
      </c>
    </row>
    <row r="2" customFormat="false" ht="15" hidden="false" customHeight="false" outlineLevel="0" collapsed="false">
      <c r="A2" s="6" t="s">
        <v>57</v>
      </c>
      <c r="B2" s="6" t="s">
        <v>58</v>
      </c>
      <c r="C2" s="6"/>
      <c r="D2" s="6"/>
      <c r="E2" s="6" t="s">
        <v>59</v>
      </c>
      <c r="F2" s="6" t="s">
        <v>60</v>
      </c>
      <c r="G2" s="6" t="s">
        <v>61</v>
      </c>
      <c r="H2" s="6" t="s">
        <v>25</v>
      </c>
      <c r="I2" s="7" t="n">
        <v>56.157107</v>
      </c>
      <c r="J2" s="7" t="n">
        <v>10.197486</v>
      </c>
      <c r="K2" s="6" t="s">
        <v>62</v>
      </c>
      <c r="L2" s="6" t="n">
        <v>2022</v>
      </c>
      <c r="M2" s="6"/>
      <c r="N2" s="6" t="s">
        <v>14</v>
      </c>
      <c r="O2" s="8"/>
      <c r="P2" s="8"/>
      <c r="Q2" s="6" t="s">
        <v>63</v>
      </c>
      <c r="R2" s="6" t="n">
        <v>913</v>
      </c>
      <c r="S2" s="6"/>
      <c r="T2" s="6" t="s">
        <v>64</v>
      </c>
      <c r="U2" s="6"/>
      <c r="V2" s="6" t="s">
        <v>65</v>
      </c>
      <c r="W2" s="8" t="s">
        <v>66</v>
      </c>
    </row>
    <row r="3" customFormat="false" ht="15" hidden="false" customHeight="false" outlineLevel="0" collapsed="false">
      <c r="A3" s="6" t="s">
        <v>67</v>
      </c>
      <c r="B3" s="6" t="s">
        <v>68</v>
      </c>
      <c r="C3" s="6"/>
      <c r="D3" s="6"/>
      <c r="E3" s="6" t="s">
        <v>59</v>
      </c>
      <c r="F3" s="6" t="s">
        <v>60</v>
      </c>
      <c r="G3" s="6" t="s">
        <v>61</v>
      </c>
      <c r="H3" s="6" t="s">
        <v>25</v>
      </c>
      <c r="I3" s="7" t="n">
        <v>56.157187</v>
      </c>
      <c r="J3" s="7" t="n">
        <v>10.197476</v>
      </c>
      <c r="K3" s="6" t="s">
        <v>62</v>
      </c>
      <c r="L3" s="6" t="n">
        <v>2022</v>
      </c>
      <c r="M3" s="6"/>
      <c r="N3" s="6" t="s">
        <v>14</v>
      </c>
      <c r="O3" s="8"/>
      <c r="P3" s="8"/>
      <c r="Q3" s="6" t="s">
        <v>69</v>
      </c>
      <c r="R3" s="6" t="n">
        <v>915</v>
      </c>
      <c r="S3" s="6"/>
      <c r="T3" s="6" t="s">
        <v>64</v>
      </c>
      <c r="U3" s="6"/>
      <c r="V3" s="6" t="s">
        <v>65</v>
      </c>
      <c r="W3" s="8" t="s">
        <v>66</v>
      </c>
    </row>
    <row r="4" customFormat="false" ht="15" hidden="false" customHeight="false" outlineLevel="0" collapsed="false">
      <c r="A4" s="6" t="s">
        <v>70</v>
      </c>
      <c r="B4" s="6" t="s">
        <v>71</v>
      </c>
      <c r="C4" s="6"/>
      <c r="D4" s="6"/>
      <c r="E4" s="6" t="s">
        <v>59</v>
      </c>
      <c r="F4" s="6" t="s">
        <v>60</v>
      </c>
      <c r="G4" s="6" t="s">
        <v>61</v>
      </c>
      <c r="H4" s="6" t="s">
        <v>25</v>
      </c>
      <c r="I4" s="7" t="n">
        <v>56.157067</v>
      </c>
      <c r="J4" s="7" t="n">
        <v>10.197546</v>
      </c>
      <c r="K4" s="6" t="s">
        <v>62</v>
      </c>
      <c r="L4" s="6" t="n">
        <v>2022</v>
      </c>
      <c r="M4" s="6"/>
      <c r="N4" s="6" t="s">
        <v>14</v>
      </c>
      <c r="O4" s="8"/>
      <c r="P4" s="8"/>
      <c r="Q4" s="6" t="s">
        <v>72</v>
      </c>
      <c r="R4" s="6" t="n">
        <v>916</v>
      </c>
      <c r="S4" s="6"/>
      <c r="T4" s="6" t="s">
        <v>64</v>
      </c>
      <c r="U4" s="6"/>
      <c r="V4" s="6" t="s">
        <v>65</v>
      </c>
      <c r="W4" s="8" t="s">
        <v>66</v>
      </c>
    </row>
    <row r="5" customFormat="false" ht="15" hidden="false" customHeight="false" outlineLevel="0" collapsed="false">
      <c r="A5" s="6" t="s">
        <v>73</v>
      </c>
      <c r="B5" s="6" t="s">
        <v>74</v>
      </c>
      <c r="C5" s="6"/>
      <c r="D5" s="6"/>
      <c r="E5" s="6" t="s">
        <v>59</v>
      </c>
      <c r="F5" s="6" t="s">
        <v>60</v>
      </c>
      <c r="G5" s="6" t="s">
        <v>61</v>
      </c>
      <c r="H5" s="6" t="s">
        <v>25</v>
      </c>
      <c r="I5" s="7" t="n">
        <v>56.156997</v>
      </c>
      <c r="J5" s="7" t="n">
        <v>10.197646</v>
      </c>
      <c r="K5" s="6" t="s">
        <v>62</v>
      </c>
      <c r="L5" s="6" t="n">
        <v>2022</v>
      </c>
      <c r="M5" s="6"/>
      <c r="N5" s="6" t="s">
        <v>14</v>
      </c>
      <c r="O5" s="8"/>
      <c r="P5" s="8"/>
      <c r="Q5" s="6" t="s">
        <v>75</v>
      </c>
      <c r="R5" s="6" t="n">
        <v>909</v>
      </c>
      <c r="S5" s="6"/>
      <c r="T5" s="6" t="s">
        <v>64</v>
      </c>
      <c r="U5" s="6"/>
      <c r="V5" s="6" t="s">
        <v>65</v>
      </c>
      <c r="W5" s="8" t="s">
        <v>66</v>
      </c>
    </row>
    <row r="6" customFormat="false" ht="15" hidden="false" customHeight="false" outlineLevel="0" collapsed="false">
      <c r="A6" s="6" t="s">
        <v>76</v>
      </c>
      <c r="B6" s="6" t="s">
        <v>77</v>
      </c>
      <c r="C6" s="6" t="n">
        <v>1882</v>
      </c>
      <c r="D6" s="6" t="s">
        <v>78</v>
      </c>
      <c r="E6" s="6" t="s">
        <v>79</v>
      </c>
      <c r="F6" s="6" t="s">
        <v>80</v>
      </c>
      <c r="G6" s="6" t="s">
        <v>31</v>
      </c>
      <c r="H6" s="6" t="s">
        <v>31</v>
      </c>
      <c r="I6" s="7"/>
      <c r="J6" s="7"/>
      <c r="K6" s="6"/>
      <c r="L6" s="6" t="n">
        <v>2022</v>
      </c>
      <c r="M6" s="6" t="s">
        <v>81</v>
      </c>
      <c r="N6" s="6" t="s">
        <v>16</v>
      </c>
      <c r="O6" s="8"/>
      <c r="P6" s="8"/>
      <c r="Q6" s="6" t="s">
        <v>82</v>
      </c>
      <c r="R6" s="6"/>
      <c r="S6" s="6"/>
      <c r="T6" s="6"/>
      <c r="U6" s="6"/>
      <c r="V6" s="6" t="s">
        <v>83</v>
      </c>
      <c r="W6" s="8" t="s">
        <v>84</v>
      </c>
    </row>
    <row r="7" customFormat="false" ht="15" hidden="false" customHeight="false" outlineLevel="0" collapsed="false">
      <c r="A7" s="6" t="s">
        <v>85</v>
      </c>
      <c r="B7" s="6" t="s">
        <v>86</v>
      </c>
      <c r="C7" s="6" t="n">
        <v>1896</v>
      </c>
      <c r="D7" s="6" t="s">
        <v>78</v>
      </c>
      <c r="E7" s="6" t="s">
        <v>87</v>
      </c>
      <c r="F7" s="6" t="s">
        <v>80</v>
      </c>
      <c r="G7" s="6" t="s">
        <v>31</v>
      </c>
      <c r="H7" s="6" t="s">
        <v>31</v>
      </c>
      <c r="I7" s="7"/>
      <c r="J7" s="7"/>
      <c r="K7" s="6"/>
      <c r="L7" s="6" t="n">
        <v>2022</v>
      </c>
      <c r="M7" s="6" t="s">
        <v>81</v>
      </c>
      <c r="N7" s="6" t="s">
        <v>16</v>
      </c>
      <c r="O7" s="8"/>
      <c r="P7" s="8"/>
      <c r="Q7" s="6" t="s">
        <v>82</v>
      </c>
      <c r="R7" s="6"/>
      <c r="S7" s="6"/>
      <c r="T7" s="6"/>
      <c r="U7" s="6"/>
      <c r="V7" s="6" t="s">
        <v>83</v>
      </c>
      <c r="W7" s="8" t="s">
        <v>88</v>
      </c>
    </row>
    <row r="8" customFormat="false" ht="15" hidden="false" customHeight="false" outlineLevel="0" collapsed="false">
      <c r="A8" s="6" t="s">
        <v>89</v>
      </c>
      <c r="B8" s="6" t="s">
        <v>90</v>
      </c>
      <c r="C8" s="6"/>
      <c r="D8" s="6"/>
      <c r="E8" s="6" t="s">
        <v>91</v>
      </c>
      <c r="F8" s="6" t="s">
        <v>92</v>
      </c>
      <c r="G8" s="6" t="s">
        <v>30</v>
      </c>
      <c r="H8" s="6" t="s">
        <v>30</v>
      </c>
      <c r="I8" s="7" t="n">
        <v>55.596799</v>
      </c>
      <c r="J8" s="7" t="n">
        <v>12.635227</v>
      </c>
      <c r="K8" s="6" t="s">
        <v>62</v>
      </c>
      <c r="L8" s="6" t="n">
        <v>2026</v>
      </c>
      <c r="M8" s="6"/>
      <c r="N8" s="6" t="s">
        <v>14</v>
      </c>
      <c r="O8" s="8"/>
      <c r="P8" s="8"/>
      <c r="Q8" s="6" t="s">
        <v>93</v>
      </c>
      <c r="R8" s="6" t="n">
        <v>3245</v>
      </c>
      <c r="S8" s="6"/>
      <c r="T8" s="6"/>
      <c r="U8" s="6"/>
      <c r="V8" s="6" t="s">
        <v>65</v>
      </c>
      <c r="W8" s="8"/>
    </row>
    <row r="9" customFormat="false" ht="15" hidden="false" customHeight="false" outlineLevel="0" collapsed="false">
      <c r="A9" s="6" t="s">
        <v>94</v>
      </c>
      <c r="B9" s="6" t="s">
        <v>95</v>
      </c>
      <c r="C9" s="6"/>
      <c r="D9" s="6"/>
      <c r="E9" s="6" t="s">
        <v>96</v>
      </c>
      <c r="F9" s="6" t="s">
        <v>97</v>
      </c>
      <c r="G9" s="6" t="s">
        <v>30</v>
      </c>
      <c r="H9" s="6" t="s">
        <v>30</v>
      </c>
      <c r="I9" s="7" t="n">
        <v>55.591282</v>
      </c>
      <c r="J9" s="7" t="n">
        <v>12.673444</v>
      </c>
      <c r="K9" s="6" t="s">
        <v>62</v>
      </c>
      <c r="L9" s="6" t="n">
        <v>2024</v>
      </c>
      <c r="M9" s="6"/>
      <c r="N9" s="6" t="s">
        <v>14</v>
      </c>
      <c r="O9" s="8"/>
      <c r="P9" s="8"/>
      <c r="Q9" s="6" t="s">
        <v>98</v>
      </c>
      <c r="R9" s="6" t="n">
        <v>2373</v>
      </c>
      <c r="S9" s="6"/>
      <c r="T9" s="6"/>
      <c r="U9" s="6"/>
      <c r="V9" s="6" t="s">
        <v>99</v>
      </c>
      <c r="W9" s="8" t="s">
        <v>100</v>
      </c>
    </row>
    <row r="10" customFormat="false" ht="46.25" hidden="false" customHeight="false" outlineLevel="0" collapsed="false">
      <c r="A10" s="6" t="s">
        <v>101</v>
      </c>
      <c r="B10" s="6" t="s">
        <v>102</v>
      </c>
      <c r="C10" s="6" t="n">
        <v>1855</v>
      </c>
      <c r="D10" s="6" t="s">
        <v>78</v>
      </c>
      <c r="E10" s="6" t="s">
        <v>103</v>
      </c>
      <c r="F10" s="6" t="s">
        <v>104</v>
      </c>
      <c r="G10" s="6" t="s">
        <v>105</v>
      </c>
      <c r="H10" s="6" t="s">
        <v>15</v>
      </c>
      <c r="I10" s="7" t="n">
        <v>55.676893</v>
      </c>
      <c r="J10" s="7" t="n">
        <v>12.540168</v>
      </c>
      <c r="K10" s="6" t="s">
        <v>62</v>
      </c>
      <c r="L10" s="6" t="n">
        <v>2020</v>
      </c>
      <c r="M10" s="6"/>
      <c r="N10" s="6" t="s">
        <v>14</v>
      </c>
      <c r="O10" s="8"/>
      <c r="P10" s="8" t="s">
        <v>106</v>
      </c>
      <c r="Q10" s="6" t="s">
        <v>107</v>
      </c>
      <c r="R10" s="6" t="n">
        <v>539</v>
      </c>
      <c r="S10" s="6"/>
      <c r="T10" s="6"/>
      <c r="U10" s="6" t="s">
        <v>108</v>
      </c>
      <c r="V10" s="6" t="s">
        <v>65</v>
      </c>
      <c r="W10" s="8"/>
    </row>
    <row r="11" customFormat="false" ht="46.25" hidden="false" customHeight="false" outlineLevel="0" collapsed="false">
      <c r="A11" s="6" t="s">
        <v>109</v>
      </c>
      <c r="B11" s="6" t="s">
        <v>110</v>
      </c>
      <c r="C11" s="6" t="n">
        <v>1904</v>
      </c>
      <c r="D11" s="6" t="s">
        <v>78</v>
      </c>
      <c r="E11" s="6" t="s">
        <v>111</v>
      </c>
      <c r="F11" s="6" t="s">
        <v>112</v>
      </c>
      <c r="G11" s="6" t="s">
        <v>105</v>
      </c>
      <c r="H11" s="6" t="s">
        <v>15</v>
      </c>
      <c r="I11" s="7" t="n">
        <v>55.679161</v>
      </c>
      <c r="J11" s="7" t="n">
        <v>12.552644</v>
      </c>
      <c r="K11" s="6" t="s">
        <v>62</v>
      </c>
      <c r="L11" s="6" t="n">
        <v>2019</v>
      </c>
      <c r="M11" s="6"/>
      <c r="N11" s="6" t="s">
        <v>14</v>
      </c>
      <c r="O11" s="8"/>
      <c r="P11" s="8" t="s">
        <v>113</v>
      </c>
      <c r="Q11" s="6" t="s">
        <v>114</v>
      </c>
      <c r="R11" s="6" t="n">
        <v>182</v>
      </c>
      <c r="S11" s="6" t="s">
        <v>115</v>
      </c>
      <c r="T11" s="6"/>
      <c r="U11" s="6" t="s">
        <v>116</v>
      </c>
      <c r="V11" s="6" t="s">
        <v>65</v>
      </c>
      <c r="W11" s="8"/>
    </row>
    <row r="12" customFormat="false" ht="15" hidden="false" customHeight="false" outlineLevel="0" collapsed="false">
      <c r="A12" s="6" t="s">
        <v>117</v>
      </c>
      <c r="B12" s="6" t="s">
        <v>118</v>
      </c>
      <c r="C12" s="6"/>
      <c r="D12" s="6"/>
      <c r="E12" s="6" t="s">
        <v>119</v>
      </c>
      <c r="F12" s="6" t="s">
        <v>120</v>
      </c>
      <c r="G12" s="6" t="s">
        <v>15</v>
      </c>
      <c r="H12" s="6" t="s">
        <v>15</v>
      </c>
      <c r="I12" s="7" t="n">
        <v>55.689206</v>
      </c>
      <c r="J12" s="7" t="n">
        <v>12.523745</v>
      </c>
      <c r="K12" s="6" t="s">
        <v>62</v>
      </c>
      <c r="L12" s="6" t="n">
        <v>2026</v>
      </c>
      <c r="M12" s="6"/>
      <c r="N12" s="6" t="s">
        <v>14</v>
      </c>
      <c r="O12" s="8"/>
      <c r="P12" s="8"/>
      <c r="Q12" s="6" t="s">
        <v>121</v>
      </c>
      <c r="R12" s="6" t="n">
        <v>3208</v>
      </c>
      <c r="S12" s="6"/>
      <c r="T12" s="6"/>
      <c r="U12" s="6"/>
      <c r="V12" s="6" t="s">
        <v>65</v>
      </c>
      <c r="W12" s="8"/>
    </row>
    <row r="13" customFormat="false" ht="15" hidden="false" customHeight="false" outlineLevel="0" collapsed="false">
      <c r="A13" s="6" t="s">
        <v>122</v>
      </c>
      <c r="B13" s="6" t="s">
        <v>123</v>
      </c>
      <c r="C13" s="6"/>
      <c r="D13" s="6"/>
      <c r="E13" s="6" t="s">
        <v>119</v>
      </c>
      <c r="F13" s="6" t="s">
        <v>120</v>
      </c>
      <c r="G13" s="6" t="s">
        <v>15</v>
      </c>
      <c r="H13" s="6" t="s">
        <v>15</v>
      </c>
      <c r="I13" s="7" t="n">
        <v>55.689256</v>
      </c>
      <c r="J13" s="7" t="n">
        <v>12.523655</v>
      </c>
      <c r="K13" s="6" t="s">
        <v>62</v>
      </c>
      <c r="L13" s="6" t="n">
        <v>2026</v>
      </c>
      <c r="M13" s="6"/>
      <c r="N13" s="6" t="s">
        <v>14</v>
      </c>
      <c r="O13" s="8"/>
      <c r="P13" s="8"/>
      <c r="Q13" s="6" t="s">
        <v>124</v>
      </c>
      <c r="R13" s="6" t="n">
        <v>3207</v>
      </c>
      <c r="S13" s="6"/>
      <c r="T13" s="6"/>
      <c r="U13" s="6"/>
      <c r="V13" s="6" t="s">
        <v>65</v>
      </c>
      <c r="W13" s="8"/>
    </row>
    <row r="14" customFormat="false" ht="15" hidden="false" customHeight="false" outlineLevel="0" collapsed="false">
      <c r="A14" s="6" t="s">
        <v>125</v>
      </c>
      <c r="B14" s="6" t="s">
        <v>126</v>
      </c>
      <c r="C14" s="6"/>
      <c r="D14" s="6"/>
      <c r="E14" s="6" t="s">
        <v>127</v>
      </c>
      <c r="F14" s="6" t="s">
        <v>120</v>
      </c>
      <c r="G14" s="6" t="s">
        <v>15</v>
      </c>
      <c r="H14" s="6" t="s">
        <v>15</v>
      </c>
      <c r="I14" s="7" t="n">
        <v>55.682217</v>
      </c>
      <c r="J14" s="7" t="n">
        <v>12.535448</v>
      </c>
      <c r="K14" s="6" t="s">
        <v>62</v>
      </c>
      <c r="L14" s="6" t="n">
        <v>2026</v>
      </c>
      <c r="M14" s="6"/>
      <c r="N14" s="6" t="s">
        <v>14</v>
      </c>
      <c r="O14" s="8"/>
      <c r="P14" s="8"/>
      <c r="Q14" s="6" t="s">
        <v>128</v>
      </c>
      <c r="R14" s="6" t="n">
        <v>3267</v>
      </c>
      <c r="S14" s="6"/>
      <c r="T14" s="6"/>
      <c r="U14" s="6"/>
      <c r="V14" s="6" t="s">
        <v>65</v>
      </c>
      <c r="W14" s="8"/>
    </row>
    <row r="15" customFormat="false" ht="15" hidden="false" customHeight="false" outlineLevel="0" collapsed="false">
      <c r="A15" s="6" t="s">
        <v>129</v>
      </c>
      <c r="B15" s="6" t="s">
        <v>130</v>
      </c>
      <c r="C15" s="6"/>
      <c r="D15" s="6"/>
      <c r="E15" s="6" t="s">
        <v>127</v>
      </c>
      <c r="F15" s="6" t="s">
        <v>120</v>
      </c>
      <c r="G15" s="6" t="s">
        <v>15</v>
      </c>
      <c r="H15" s="6" t="s">
        <v>15</v>
      </c>
      <c r="I15" s="7" t="n">
        <v>55.682147</v>
      </c>
      <c r="J15" s="7" t="n">
        <v>12.535438</v>
      </c>
      <c r="K15" s="6" t="s">
        <v>62</v>
      </c>
      <c r="L15" s="6" t="n">
        <v>2026</v>
      </c>
      <c r="M15" s="6"/>
      <c r="N15" s="6" t="s">
        <v>14</v>
      </c>
      <c r="O15" s="8"/>
      <c r="P15" s="8"/>
      <c r="Q15" s="6" t="s">
        <v>131</v>
      </c>
      <c r="R15" s="6" t="n">
        <v>3271</v>
      </c>
      <c r="S15" s="6"/>
      <c r="T15" s="6"/>
      <c r="U15" s="6"/>
      <c r="V15" s="6" t="s">
        <v>65</v>
      </c>
      <c r="W15" s="8"/>
    </row>
    <row r="16" customFormat="false" ht="15" hidden="false" customHeight="false" outlineLevel="0" collapsed="false">
      <c r="A16" s="6" t="s">
        <v>132</v>
      </c>
      <c r="B16" s="6" t="s">
        <v>133</v>
      </c>
      <c r="C16" s="6"/>
      <c r="D16" s="6"/>
      <c r="E16" s="6" t="s">
        <v>127</v>
      </c>
      <c r="F16" s="6" t="s">
        <v>120</v>
      </c>
      <c r="G16" s="6" t="s">
        <v>15</v>
      </c>
      <c r="H16" s="6" t="s">
        <v>15</v>
      </c>
      <c r="I16" s="7" t="n">
        <v>55.682207</v>
      </c>
      <c r="J16" s="7" t="n">
        <v>12.535448</v>
      </c>
      <c r="K16" s="6" t="s">
        <v>62</v>
      </c>
      <c r="L16" s="6" t="n">
        <v>2026</v>
      </c>
      <c r="M16" s="6"/>
      <c r="N16" s="6" t="s">
        <v>14</v>
      </c>
      <c r="O16" s="8"/>
      <c r="P16" s="8"/>
      <c r="Q16" s="6" t="s">
        <v>134</v>
      </c>
      <c r="R16" s="6" t="n">
        <v>3236</v>
      </c>
      <c r="S16" s="6"/>
      <c r="T16" s="6"/>
      <c r="U16" s="6"/>
      <c r="V16" s="6" t="s">
        <v>65</v>
      </c>
      <c r="W16" s="8"/>
    </row>
    <row r="17" customFormat="false" ht="46.25" hidden="false" customHeight="false" outlineLevel="0" collapsed="false">
      <c r="A17" s="6" t="s">
        <v>135</v>
      </c>
      <c r="B17" s="6" t="s">
        <v>136</v>
      </c>
      <c r="C17" s="6" t="n">
        <v>1882</v>
      </c>
      <c r="D17" s="6" t="s">
        <v>78</v>
      </c>
      <c r="E17" s="6" t="s">
        <v>137</v>
      </c>
      <c r="F17" s="6" t="s">
        <v>138</v>
      </c>
      <c r="G17" s="6" t="s">
        <v>105</v>
      </c>
      <c r="H17" s="6" t="s">
        <v>15</v>
      </c>
      <c r="I17" s="7" t="n">
        <v>55.679368</v>
      </c>
      <c r="J17" s="7" t="n">
        <v>12.554004</v>
      </c>
      <c r="K17" s="6" t="s">
        <v>62</v>
      </c>
      <c r="L17" s="6" t="n">
        <v>2020</v>
      </c>
      <c r="M17" s="6"/>
      <c r="N17" s="6" t="s">
        <v>14</v>
      </c>
      <c r="O17" s="8"/>
      <c r="P17" s="8" t="s">
        <v>139</v>
      </c>
      <c r="Q17" s="6" t="s">
        <v>140</v>
      </c>
      <c r="R17" s="6" t="n">
        <v>537</v>
      </c>
      <c r="S17" s="6"/>
      <c r="T17" s="6"/>
      <c r="U17" s="6" t="s">
        <v>141</v>
      </c>
      <c r="V17" s="6" t="s">
        <v>65</v>
      </c>
      <c r="W17" s="8"/>
    </row>
    <row r="18" customFormat="false" ht="15" hidden="false" customHeight="false" outlineLevel="0" collapsed="false">
      <c r="A18" s="6" t="s">
        <v>142</v>
      </c>
      <c r="B18" s="6" t="s">
        <v>143</v>
      </c>
      <c r="C18" s="6"/>
      <c r="D18" s="6"/>
      <c r="E18" s="6" t="s">
        <v>137</v>
      </c>
      <c r="F18" s="6" t="s">
        <v>138</v>
      </c>
      <c r="G18" s="6" t="s">
        <v>105</v>
      </c>
      <c r="H18" s="6" t="s">
        <v>15</v>
      </c>
      <c r="I18" s="7" t="n">
        <v>55.679268</v>
      </c>
      <c r="J18" s="7" t="n">
        <v>12.553914</v>
      </c>
      <c r="K18" s="6" t="s">
        <v>62</v>
      </c>
      <c r="L18" s="6" t="n">
        <v>2025</v>
      </c>
      <c r="M18" s="6"/>
      <c r="N18" s="6" t="s">
        <v>14</v>
      </c>
      <c r="O18" s="8"/>
      <c r="P18" s="8"/>
      <c r="Q18" s="6" t="s">
        <v>144</v>
      </c>
      <c r="R18" s="6" t="n">
        <v>2793</v>
      </c>
      <c r="S18" s="6"/>
      <c r="T18" s="6"/>
      <c r="U18" s="6"/>
      <c r="V18" s="6" t="s">
        <v>65</v>
      </c>
      <c r="W18" s="8"/>
    </row>
    <row r="19" customFormat="false" ht="35.05" hidden="false" customHeight="false" outlineLevel="0" collapsed="false">
      <c r="A19" s="6" t="s">
        <v>145</v>
      </c>
      <c r="B19" s="6" t="s">
        <v>146</v>
      </c>
      <c r="C19" s="6" t="n">
        <v>1867</v>
      </c>
      <c r="D19" s="6" t="s">
        <v>147</v>
      </c>
      <c r="E19" s="6" t="s">
        <v>148</v>
      </c>
      <c r="F19" s="6" t="s">
        <v>149</v>
      </c>
      <c r="G19" s="6" t="s">
        <v>105</v>
      </c>
      <c r="H19" s="6" t="s">
        <v>15</v>
      </c>
      <c r="I19" s="7" t="n">
        <v>55.67082</v>
      </c>
      <c r="J19" s="7" t="n">
        <v>12.535348</v>
      </c>
      <c r="K19" s="6" t="s">
        <v>62</v>
      </c>
      <c r="L19" s="6" t="n">
        <v>2022</v>
      </c>
      <c r="M19" s="6"/>
      <c r="N19" s="6" t="s">
        <v>14</v>
      </c>
      <c r="O19" s="8"/>
      <c r="P19" s="8" t="s">
        <v>150</v>
      </c>
      <c r="Q19" s="6" t="s">
        <v>151</v>
      </c>
      <c r="R19" s="6" t="n">
        <v>897</v>
      </c>
      <c r="S19" s="6"/>
      <c r="T19" s="6"/>
      <c r="U19" s="6" t="s">
        <v>152</v>
      </c>
      <c r="V19" s="6" t="s">
        <v>65</v>
      </c>
      <c r="W19" s="8"/>
    </row>
    <row r="20" customFormat="false" ht="35.05" hidden="false" customHeight="false" outlineLevel="0" collapsed="false">
      <c r="A20" s="6" t="s">
        <v>153</v>
      </c>
      <c r="B20" s="6" t="s">
        <v>154</v>
      </c>
      <c r="C20" s="6" t="n">
        <v>1880</v>
      </c>
      <c r="D20" s="6" t="s">
        <v>78</v>
      </c>
      <c r="E20" s="6" t="s">
        <v>148</v>
      </c>
      <c r="F20" s="6" t="s">
        <v>149</v>
      </c>
      <c r="G20" s="6" t="s">
        <v>105</v>
      </c>
      <c r="H20" s="6" t="s">
        <v>15</v>
      </c>
      <c r="I20" s="7" t="n">
        <v>55.67087</v>
      </c>
      <c r="J20" s="7" t="n">
        <v>12.535488</v>
      </c>
      <c r="K20" s="6" t="s">
        <v>62</v>
      </c>
      <c r="L20" s="6" t="n">
        <v>2022</v>
      </c>
      <c r="M20" s="6"/>
      <c r="N20" s="6" t="s">
        <v>14</v>
      </c>
      <c r="O20" s="8"/>
      <c r="P20" s="8" t="s">
        <v>155</v>
      </c>
      <c r="Q20" s="6" t="s">
        <v>156</v>
      </c>
      <c r="R20" s="6" t="n">
        <v>896</v>
      </c>
      <c r="S20" s="6"/>
      <c r="T20" s="6"/>
      <c r="U20" s="6" t="s">
        <v>157</v>
      </c>
      <c r="V20" s="6" t="s">
        <v>65</v>
      </c>
      <c r="W20" s="8"/>
    </row>
    <row r="21" customFormat="false" ht="15" hidden="false" customHeight="false" outlineLevel="0" collapsed="false">
      <c r="A21" s="6" t="s">
        <v>158</v>
      </c>
      <c r="B21" s="6" t="s">
        <v>159</v>
      </c>
      <c r="C21" s="6"/>
      <c r="D21" s="6"/>
      <c r="E21" s="6" t="s">
        <v>160</v>
      </c>
      <c r="F21" s="6" t="s">
        <v>120</v>
      </c>
      <c r="G21" s="6" t="s">
        <v>15</v>
      </c>
      <c r="H21" s="6" t="s">
        <v>15</v>
      </c>
      <c r="I21" s="7" t="n">
        <v>55.690045</v>
      </c>
      <c r="J21" s="7" t="n">
        <v>12.516996</v>
      </c>
      <c r="K21" s="6" t="s">
        <v>62</v>
      </c>
      <c r="L21" s="6" t="n">
        <v>2024</v>
      </c>
      <c r="M21" s="6"/>
      <c r="N21" s="6" t="s">
        <v>14</v>
      </c>
      <c r="O21" s="8"/>
      <c r="P21" s="8"/>
      <c r="Q21" s="6" t="s">
        <v>161</v>
      </c>
      <c r="R21" s="6" t="n">
        <v>2310</v>
      </c>
      <c r="S21" s="6"/>
      <c r="T21" s="6"/>
      <c r="U21" s="6"/>
      <c r="V21" s="6" t="s">
        <v>65</v>
      </c>
      <c r="W21" s="8"/>
    </row>
    <row r="22" customFormat="false" ht="57.45" hidden="false" customHeight="false" outlineLevel="0" collapsed="false">
      <c r="A22" s="6" t="s">
        <v>162</v>
      </c>
      <c r="B22" s="6" t="s">
        <v>163</v>
      </c>
      <c r="C22" s="6" t="n">
        <v>1892</v>
      </c>
      <c r="D22" s="6" t="s">
        <v>147</v>
      </c>
      <c r="E22" s="6" t="s">
        <v>164</v>
      </c>
      <c r="F22" s="6" t="s">
        <v>165</v>
      </c>
      <c r="G22" s="6" t="s">
        <v>105</v>
      </c>
      <c r="H22" s="6" t="s">
        <v>15</v>
      </c>
      <c r="I22" s="7" t="n">
        <v>55.679716</v>
      </c>
      <c r="J22" s="7" t="n">
        <v>12.546309</v>
      </c>
      <c r="K22" s="6" t="s">
        <v>62</v>
      </c>
      <c r="L22" s="6" t="n">
        <v>2021</v>
      </c>
      <c r="M22" s="6"/>
      <c r="N22" s="6" t="s">
        <v>14</v>
      </c>
      <c r="O22" s="8"/>
      <c r="P22" s="8" t="s">
        <v>166</v>
      </c>
      <c r="Q22" s="6" t="s">
        <v>167</v>
      </c>
      <c r="R22" s="6" t="n">
        <v>922</v>
      </c>
      <c r="S22" s="6"/>
      <c r="T22" s="6"/>
      <c r="U22" s="6" t="s">
        <v>168</v>
      </c>
      <c r="V22" s="6" t="s">
        <v>65</v>
      </c>
      <c r="W22" s="8"/>
    </row>
    <row r="23" customFormat="false" ht="46.25" hidden="false" customHeight="false" outlineLevel="0" collapsed="false">
      <c r="A23" s="6" t="s">
        <v>169</v>
      </c>
      <c r="B23" s="6" t="s">
        <v>170</v>
      </c>
      <c r="C23" s="6" t="n">
        <v>1887</v>
      </c>
      <c r="D23" s="6" t="s">
        <v>78</v>
      </c>
      <c r="E23" s="6" t="s">
        <v>164</v>
      </c>
      <c r="F23" s="6" t="s">
        <v>165</v>
      </c>
      <c r="G23" s="6" t="s">
        <v>105</v>
      </c>
      <c r="H23" s="6" t="s">
        <v>15</v>
      </c>
      <c r="I23" s="7" t="n">
        <v>55.679886</v>
      </c>
      <c r="J23" s="7" t="n">
        <v>12.546349</v>
      </c>
      <c r="K23" s="6" t="s">
        <v>62</v>
      </c>
      <c r="L23" s="6" t="n">
        <v>2021</v>
      </c>
      <c r="M23" s="6"/>
      <c r="N23" s="6" t="s">
        <v>14</v>
      </c>
      <c r="O23" s="8"/>
      <c r="P23" s="8" t="s">
        <v>171</v>
      </c>
      <c r="Q23" s="6" t="s">
        <v>172</v>
      </c>
      <c r="R23" s="6" t="n">
        <v>921</v>
      </c>
      <c r="S23" s="6"/>
      <c r="T23" s="6"/>
      <c r="U23" s="6" t="s">
        <v>173</v>
      </c>
      <c r="V23" s="6" t="s">
        <v>65</v>
      </c>
      <c r="W23" s="8"/>
    </row>
    <row r="24" customFormat="false" ht="57.45" hidden="false" customHeight="false" outlineLevel="0" collapsed="false">
      <c r="A24" s="6" t="s">
        <v>174</v>
      </c>
      <c r="B24" s="6" t="s">
        <v>175</v>
      </c>
      <c r="C24" s="6" t="n">
        <v>1911</v>
      </c>
      <c r="D24" s="6" t="s">
        <v>147</v>
      </c>
      <c r="E24" s="6" t="s">
        <v>176</v>
      </c>
      <c r="F24" s="6" t="s">
        <v>177</v>
      </c>
      <c r="G24" s="6" t="s">
        <v>105</v>
      </c>
      <c r="H24" s="6" t="s">
        <v>15</v>
      </c>
      <c r="I24" s="7" t="n">
        <v>55.675991</v>
      </c>
      <c r="J24" s="7" t="n">
        <v>12.535976</v>
      </c>
      <c r="K24" s="6" t="s">
        <v>62</v>
      </c>
      <c r="L24" s="6" t="n">
        <v>2022</v>
      </c>
      <c r="M24" s="6"/>
      <c r="N24" s="6" t="s">
        <v>14</v>
      </c>
      <c r="O24" s="8"/>
      <c r="P24" s="8" t="s">
        <v>178</v>
      </c>
      <c r="Q24" s="6" t="s">
        <v>179</v>
      </c>
      <c r="R24" s="6" t="n">
        <v>582</v>
      </c>
      <c r="S24" s="6"/>
      <c r="T24" s="6"/>
      <c r="U24" s="6" t="s">
        <v>180</v>
      </c>
      <c r="V24" s="6" t="s">
        <v>65</v>
      </c>
      <c r="W24" s="8"/>
    </row>
    <row r="25" customFormat="false" ht="15" hidden="false" customHeight="false" outlineLevel="0" collapsed="false">
      <c r="A25" s="6" t="s">
        <v>181</v>
      </c>
      <c r="B25" s="6" t="s">
        <v>182</v>
      </c>
      <c r="C25" s="6"/>
      <c r="D25" s="6"/>
      <c r="E25" s="6" t="s">
        <v>183</v>
      </c>
      <c r="F25" s="6" t="s">
        <v>120</v>
      </c>
      <c r="G25" s="6" t="s">
        <v>15</v>
      </c>
      <c r="H25" s="6" t="s">
        <v>15</v>
      </c>
      <c r="I25" s="7" t="n">
        <v>55.679931</v>
      </c>
      <c r="J25" s="7" t="n">
        <v>12.529438</v>
      </c>
      <c r="K25" s="6" t="s">
        <v>62</v>
      </c>
      <c r="L25" s="6" t="n">
        <v>2024</v>
      </c>
      <c r="M25" s="6"/>
      <c r="N25" s="6" t="s">
        <v>14</v>
      </c>
      <c r="O25" s="8"/>
      <c r="P25" s="8"/>
      <c r="Q25" s="6" t="s">
        <v>184</v>
      </c>
      <c r="R25" s="6" t="n">
        <v>2309</v>
      </c>
      <c r="S25" s="6"/>
      <c r="T25" s="6"/>
      <c r="U25" s="6"/>
      <c r="V25" s="6" t="s">
        <v>65</v>
      </c>
      <c r="W25" s="8" t="s">
        <v>185</v>
      </c>
    </row>
    <row r="26" customFormat="false" ht="15" hidden="false" customHeight="false" outlineLevel="0" collapsed="false">
      <c r="A26" s="6" t="s">
        <v>186</v>
      </c>
      <c r="B26" s="6" t="s">
        <v>187</v>
      </c>
      <c r="C26" s="6"/>
      <c r="D26" s="6"/>
      <c r="E26" s="6" t="s">
        <v>188</v>
      </c>
      <c r="F26" s="6" t="s">
        <v>189</v>
      </c>
      <c r="G26" s="6" t="s">
        <v>105</v>
      </c>
      <c r="H26" s="6" t="s">
        <v>15</v>
      </c>
      <c r="I26" s="7" t="n">
        <v>55.680873</v>
      </c>
      <c r="J26" s="7" t="n">
        <v>12.546459</v>
      </c>
      <c r="K26" s="6" t="s">
        <v>62</v>
      </c>
      <c r="L26" s="6" t="n">
        <v>2024</v>
      </c>
      <c r="M26" s="6"/>
      <c r="N26" s="6" t="s">
        <v>14</v>
      </c>
      <c r="O26" s="8"/>
      <c r="P26" s="8"/>
      <c r="Q26" s="6" t="s">
        <v>190</v>
      </c>
      <c r="R26" s="6" t="n">
        <v>2333</v>
      </c>
      <c r="S26" s="6"/>
      <c r="T26" s="6"/>
      <c r="U26" s="6"/>
      <c r="V26" s="6" t="s">
        <v>65</v>
      </c>
      <c r="W26" s="8"/>
    </row>
    <row r="27" customFormat="false" ht="15" hidden="false" customHeight="false" outlineLevel="0" collapsed="false">
      <c r="A27" s="6" t="s">
        <v>191</v>
      </c>
      <c r="B27" s="6" t="s">
        <v>192</v>
      </c>
      <c r="C27" s="6"/>
      <c r="D27" s="6"/>
      <c r="E27" s="6" t="s">
        <v>188</v>
      </c>
      <c r="F27" s="6" t="s">
        <v>189</v>
      </c>
      <c r="G27" s="6" t="s">
        <v>105</v>
      </c>
      <c r="H27" s="6" t="s">
        <v>15</v>
      </c>
      <c r="I27" s="7" t="n">
        <v>55.680793</v>
      </c>
      <c r="J27" s="7" t="n">
        <v>12.546469</v>
      </c>
      <c r="K27" s="6" t="s">
        <v>62</v>
      </c>
      <c r="L27" s="6" t="n">
        <v>2024</v>
      </c>
      <c r="M27" s="6"/>
      <c r="N27" s="6" t="s">
        <v>14</v>
      </c>
      <c r="O27" s="8"/>
      <c r="P27" s="8"/>
      <c r="Q27" s="6" t="s">
        <v>193</v>
      </c>
      <c r="R27" s="6" t="n">
        <v>2336</v>
      </c>
      <c r="S27" s="6"/>
      <c r="T27" s="6"/>
      <c r="U27" s="6"/>
      <c r="V27" s="6" t="s">
        <v>65</v>
      </c>
      <c r="W27" s="8"/>
    </row>
    <row r="28" customFormat="false" ht="15" hidden="false" customHeight="false" outlineLevel="0" collapsed="false">
      <c r="A28" s="6" t="s">
        <v>194</v>
      </c>
      <c r="B28" s="6" t="s">
        <v>195</v>
      </c>
      <c r="C28" s="6"/>
      <c r="D28" s="6"/>
      <c r="E28" s="6" t="s">
        <v>188</v>
      </c>
      <c r="F28" s="6" t="s">
        <v>189</v>
      </c>
      <c r="G28" s="6" t="s">
        <v>105</v>
      </c>
      <c r="H28" s="6" t="s">
        <v>15</v>
      </c>
      <c r="I28" s="7" t="n">
        <v>55.680923</v>
      </c>
      <c r="J28" s="7" t="n">
        <v>12.546509</v>
      </c>
      <c r="K28" s="6" t="s">
        <v>62</v>
      </c>
      <c r="L28" s="6" t="n">
        <v>2024</v>
      </c>
      <c r="M28" s="6"/>
      <c r="N28" s="6" t="s">
        <v>14</v>
      </c>
      <c r="O28" s="8"/>
      <c r="P28" s="8"/>
      <c r="Q28" s="6" t="s">
        <v>196</v>
      </c>
      <c r="R28" s="6" t="n">
        <v>2340</v>
      </c>
      <c r="S28" s="6"/>
      <c r="T28" s="6"/>
      <c r="U28" s="6"/>
      <c r="V28" s="6" t="s">
        <v>65</v>
      </c>
      <c r="W28" s="8"/>
    </row>
    <row r="29" customFormat="false" ht="15" hidden="false" customHeight="false" outlineLevel="0" collapsed="false">
      <c r="A29" s="6" t="s">
        <v>197</v>
      </c>
      <c r="B29" s="6" t="s">
        <v>198</v>
      </c>
      <c r="C29" s="6"/>
      <c r="D29" s="6"/>
      <c r="E29" s="6" t="s">
        <v>188</v>
      </c>
      <c r="F29" s="6" t="s">
        <v>189</v>
      </c>
      <c r="G29" s="6" t="s">
        <v>105</v>
      </c>
      <c r="H29" s="6" t="s">
        <v>15</v>
      </c>
      <c r="I29" s="7" t="n">
        <v>55.680903</v>
      </c>
      <c r="J29" s="7" t="n">
        <v>12.546539</v>
      </c>
      <c r="K29" s="6" t="s">
        <v>62</v>
      </c>
      <c r="L29" s="6" t="n">
        <v>2024</v>
      </c>
      <c r="M29" s="6"/>
      <c r="N29" s="6" t="s">
        <v>14</v>
      </c>
      <c r="O29" s="8"/>
      <c r="P29" s="8"/>
      <c r="Q29" s="6" t="s">
        <v>199</v>
      </c>
      <c r="R29" s="6" t="n">
        <v>2341</v>
      </c>
      <c r="S29" s="6"/>
      <c r="T29" s="6"/>
      <c r="U29" s="6"/>
      <c r="V29" s="6" t="s">
        <v>65</v>
      </c>
      <c r="W29" s="8"/>
    </row>
    <row r="30" customFormat="false" ht="15" hidden="false" customHeight="false" outlineLevel="0" collapsed="false">
      <c r="A30" s="6" t="s">
        <v>200</v>
      </c>
      <c r="B30" s="6" t="s">
        <v>201</v>
      </c>
      <c r="C30" s="6"/>
      <c r="D30" s="6"/>
      <c r="E30" s="6" t="s">
        <v>188</v>
      </c>
      <c r="F30" s="6" t="s">
        <v>189</v>
      </c>
      <c r="G30" s="6" t="s">
        <v>105</v>
      </c>
      <c r="H30" s="6" t="s">
        <v>15</v>
      </c>
      <c r="I30" s="7" t="n">
        <v>55.680913</v>
      </c>
      <c r="J30" s="7" t="n">
        <v>12.546389</v>
      </c>
      <c r="K30" s="6" t="s">
        <v>62</v>
      </c>
      <c r="L30" s="6" t="n">
        <v>2024</v>
      </c>
      <c r="M30" s="6"/>
      <c r="N30" s="6" t="s">
        <v>14</v>
      </c>
      <c r="O30" s="8"/>
      <c r="P30" s="8"/>
      <c r="Q30" s="6" t="s">
        <v>202</v>
      </c>
      <c r="R30" s="6" t="n">
        <v>2337</v>
      </c>
      <c r="S30" s="6"/>
      <c r="T30" s="6"/>
      <c r="U30" s="6"/>
      <c r="V30" s="6" t="s">
        <v>65</v>
      </c>
      <c r="W30" s="8"/>
    </row>
    <row r="31" customFormat="false" ht="15" hidden="false" customHeight="false" outlineLevel="0" collapsed="false">
      <c r="A31" s="6" t="s">
        <v>203</v>
      </c>
      <c r="B31" s="6" t="s">
        <v>204</v>
      </c>
      <c r="C31" s="6"/>
      <c r="D31" s="6"/>
      <c r="E31" s="6" t="s">
        <v>205</v>
      </c>
      <c r="F31" s="6" t="s">
        <v>206</v>
      </c>
      <c r="G31" s="6" t="s">
        <v>105</v>
      </c>
      <c r="H31" s="6" t="s">
        <v>15</v>
      </c>
      <c r="I31" s="7" t="n">
        <v>55.680322</v>
      </c>
      <c r="J31" s="7" t="n">
        <v>12.553481</v>
      </c>
      <c r="K31" s="6" t="s">
        <v>62</v>
      </c>
      <c r="L31" s="6" t="n">
        <v>2024</v>
      </c>
      <c r="M31" s="6"/>
      <c r="N31" s="6" t="s">
        <v>14</v>
      </c>
      <c r="O31" s="8"/>
      <c r="P31" s="8"/>
      <c r="Q31" s="6" t="s">
        <v>207</v>
      </c>
      <c r="R31" s="6" t="n">
        <v>2366</v>
      </c>
      <c r="S31" s="6"/>
      <c r="T31" s="6"/>
      <c r="U31" s="6"/>
      <c r="V31" s="6" t="s">
        <v>65</v>
      </c>
      <c r="W31" s="8"/>
    </row>
    <row r="32" customFormat="false" ht="15" hidden="false" customHeight="false" outlineLevel="0" collapsed="false">
      <c r="A32" s="6" t="s">
        <v>208</v>
      </c>
      <c r="B32" s="6" t="s">
        <v>209</v>
      </c>
      <c r="C32" s="6"/>
      <c r="D32" s="6"/>
      <c r="E32" s="6" t="s">
        <v>205</v>
      </c>
      <c r="F32" s="6" t="s">
        <v>206</v>
      </c>
      <c r="G32" s="6" t="s">
        <v>105</v>
      </c>
      <c r="H32" s="6" t="s">
        <v>15</v>
      </c>
      <c r="I32" s="7" t="n">
        <v>55.680312</v>
      </c>
      <c r="J32" s="7" t="n">
        <v>12.553581</v>
      </c>
      <c r="K32" s="6" t="s">
        <v>62</v>
      </c>
      <c r="L32" s="6" t="n">
        <v>2024</v>
      </c>
      <c r="M32" s="6"/>
      <c r="N32" s="6" t="s">
        <v>14</v>
      </c>
      <c r="O32" s="8"/>
      <c r="P32" s="8"/>
      <c r="Q32" s="6" t="s">
        <v>210</v>
      </c>
      <c r="R32" s="6" t="n">
        <v>2356</v>
      </c>
      <c r="S32" s="6"/>
      <c r="T32" s="6"/>
      <c r="U32" s="6"/>
      <c r="V32" s="6" t="s">
        <v>65</v>
      </c>
      <c r="W32" s="8"/>
    </row>
    <row r="33" customFormat="false" ht="15" hidden="false" customHeight="false" outlineLevel="0" collapsed="false">
      <c r="A33" s="6" t="s">
        <v>211</v>
      </c>
      <c r="B33" s="6" t="s">
        <v>212</v>
      </c>
      <c r="C33" s="6"/>
      <c r="D33" s="6"/>
      <c r="E33" s="6" t="s">
        <v>205</v>
      </c>
      <c r="F33" s="6" t="s">
        <v>206</v>
      </c>
      <c r="G33" s="6" t="s">
        <v>105</v>
      </c>
      <c r="H33" s="6" t="s">
        <v>15</v>
      </c>
      <c r="I33" s="7" t="n">
        <v>55.680222</v>
      </c>
      <c r="J33" s="7" t="n">
        <v>12.553481</v>
      </c>
      <c r="K33" s="6" t="s">
        <v>62</v>
      </c>
      <c r="L33" s="6" t="n">
        <v>2024</v>
      </c>
      <c r="M33" s="6"/>
      <c r="N33" s="6" t="s">
        <v>14</v>
      </c>
      <c r="O33" s="8"/>
      <c r="P33" s="8"/>
      <c r="Q33" s="6" t="s">
        <v>213</v>
      </c>
      <c r="R33" s="6" t="n">
        <v>2363</v>
      </c>
      <c r="S33" s="6"/>
      <c r="T33" s="6"/>
      <c r="U33" s="6"/>
      <c r="V33" s="6" t="s">
        <v>65</v>
      </c>
      <c r="W33" s="8"/>
    </row>
    <row r="34" customFormat="false" ht="15" hidden="false" customHeight="false" outlineLevel="0" collapsed="false">
      <c r="A34" s="6" t="s">
        <v>214</v>
      </c>
      <c r="B34" s="6" t="s">
        <v>215</v>
      </c>
      <c r="C34" s="6"/>
      <c r="D34" s="6"/>
      <c r="E34" s="6" t="s">
        <v>205</v>
      </c>
      <c r="F34" s="6" t="s">
        <v>206</v>
      </c>
      <c r="G34" s="6" t="s">
        <v>105</v>
      </c>
      <c r="H34" s="6" t="s">
        <v>15</v>
      </c>
      <c r="I34" s="7" t="n">
        <v>55.680372</v>
      </c>
      <c r="J34" s="7" t="n">
        <v>12.553551</v>
      </c>
      <c r="K34" s="6" t="s">
        <v>62</v>
      </c>
      <c r="L34" s="6" t="n">
        <v>2024</v>
      </c>
      <c r="M34" s="6"/>
      <c r="N34" s="6" t="s">
        <v>14</v>
      </c>
      <c r="O34" s="8"/>
      <c r="P34" s="8"/>
      <c r="Q34" s="6" t="s">
        <v>216</v>
      </c>
      <c r="R34" s="6" t="n">
        <v>2360</v>
      </c>
      <c r="S34" s="6"/>
      <c r="T34" s="6"/>
      <c r="U34" s="6"/>
      <c r="V34" s="6" t="s">
        <v>65</v>
      </c>
      <c r="W34" s="8"/>
    </row>
    <row r="35" customFormat="false" ht="15" hidden="false" customHeight="false" outlineLevel="0" collapsed="false">
      <c r="A35" s="6" t="s">
        <v>217</v>
      </c>
      <c r="B35" s="6" t="s">
        <v>218</v>
      </c>
      <c r="C35" s="6"/>
      <c r="D35" s="6"/>
      <c r="E35" s="6" t="s">
        <v>219</v>
      </c>
      <c r="F35" s="6" t="s">
        <v>220</v>
      </c>
      <c r="G35" s="6" t="s">
        <v>105</v>
      </c>
      <c r="H35" s="6" t="s">
        <v>15</v>
      </c>
      <c r="I35" s="7" t="n">
        <v>55.675484</v>
      </c>
      <c r="J35" s="7" t="n">
        <v>12.540779</v>
      </c>
      <c r="K35" s="6" t="s">
        <v>62</v>
      </c>
      <c r="L35" s="6" t="n">
        <v>2023</v>
      </c>
      <c r="M35" s="6"/>
      <c r="N35" s="6" t="s">
        <v>14</v>
      </c>
      <c r="O35" s="8"/>
      <c r="P35" s="8"/>
      <c r="Q35" s="6" t="s">
        <v>221</v>
      </c>
      <c r="R35" s="6" t="n">
        <v>1671</v>
      </c>
      <c r="S35" s="6"/>
      <c r="T35" s="6"/>
      <c r="U35" s="6"/>
      <c r="V35" s="6" t="s">
        <v>65</v>
      </c>
      <c r="W35" s="8"/>
    </row>
    <row r="36" customFormat="false" ht="15" hidden="false" customHeight="false" outlineLevel="0" collapsed="false">
      <c r="A36" s="6" t="s">
        <v>222</v>
      </c>
      <c r="B36" s="6" t="s">
        <v>223</v>
      </c>
      <c r="C36" s="6"/>
      <c r="D36" s="6"/>
      <c r="E36" s="6" t="s">
        <v>219</v>
      </c>
      <c r="F36" s="6" t="s">
        <v>220</v>
      </c>
      <c r="G36" s="6" t="s">
        <v>105</v>
      </c>
      <c r="H36" s="6" t="s">
        <v>15</v>
      </c>
      <c r="I36" s="7" t="n">
        <v>55.675484</v>
      </c>
      <c r="J36" s="7" t="n">
        <v>12.540849</v>
      </c>
      <c r="K36" s="6" t="s">
        <v>62</v>
      </c>
      <c r="L36" s="6" t="n">
        <v>2023</v>
      </c>
      <c r="M36" s="6"/>
      <c r="N36" s="6" t="s">
        <v>14</v>
      </c>
      <c r="O36" s="8"/>
      <c r="P36" s="8"/>
      <c r="Q36" s="6" t="s">
        <v>224</v>
      </c>
      <c r="R36" s="6" t="n">
        <v>1681</v>
      </c>
      <c r="S36" s="6"/>
      <c r="T36" s="6"/>
      <c r="U36" s="6"/>
      <c r="V36" s="6" t="s">
        <v>65</v>
      </c>
      <c r="W36" s="8"/>
    </row>
    <row r="37" customFormat="false" ht="35.05" hidden="false" customHeight="false" outlineLevel="0" collapsed="false">
      <c r="A37" s="6" t="s">
        <v>225</v>
      </c>
      <c r="B37" s="6" t="s">
        <v>226</v>
      </c>
      <c r="C37" s="6" t="n">
        <v>1878</v>
      </c>
      <c r="D37" s="6" t="s">
        <v>78</v>
      </c>
      <c r="E37" s="6" t="s">
        <v>227</v>
      </c>
      <c r="F37" s="6" t="s">
        <v>228</v>
      </c>
      <c r="G37" s="6" t="s">
        <v>105</v>
      </c>
      <c r="H37" s="6" t="s">
        <v>15</v>
      </c>
      <c r="I37" s="7" t="n">
        <v>55.678245</v>
      </c>
      <c r="J37" s="7" t="n">
        <v>12.553837</v>
      </c>
      <c r="K37" s="6" t="s">
        <v>62</v>
      </c>
      <c r="L37" s="6" t="n">
        <v>2020</v>
      </c>
      <c r="M37" s="6"/>
      <c r="N37" s="6" t="s">
        <v>14</v>
      </c>
      <c r="O37" s="8"/>
      <c r="P37" s="8" t="s">
        <v>229</v>
      </c>
      <c r="Q37" s="6" t="s">
        <v>230</v>
      </c>
      <c r="R37" s="6" t="n">
        <v>538</v>
      </c>
      <c r="S37" s="6"/>
      <c r="T37" s="6"/>
      <c r="U37" s="6" t="s">
        <v>231</v>
      </c>
      <c r="V37" s="6" t="s">
        <v>65</v>
      </c>
      <c r="W37" s="8" t="s">
        <v>232</v>
      </c>
    </row>
    <row r="38" customFormat="false" ht="15" hidden="false" customHeight="false" outlineLevel="0" collapsed="false">
      <c r="A38" s="6" t="s">
        <v>233</v>
      </c>
      <c r="B38" s="6" t="s">
        <v>234</v>
      </c>
      <c r="C38" s="6"/>
      <c r="D38" s="6"/>
      <c r="E38" s="6" t="s">
        <v>235</v>
      </c>
      <c r="F38" s="6" t="s">
        <v>236</v>
      </c>
      <c r="G38" s="6" t="s">
        <v>237</v>
      </c>
      <c r="H38" s="6" t="s">
        <v>17</v>
      </c>
      <c r="I38" s="7" t="n">
        <v>55.73692</v>
      </c>
      <c r="J38" s="7" t="n">
        <v>12.574903</v>
      </c>
      <c r="K38" s="6" t="s">
        <v>62</v>
      </c>
      <c r="L38" s="6" t="n">
        <v>2026</v>
      </c>
      <c r="M38" s="6"/>
      <c r="N38" s="6" t="s">
        <v>14</v>
      </c>
      <c r="O38" s="8"/>
      <c r="P38" s="8"/>
      <c r="Q38" s="6" t="s">
        <v>238</v>
      </c>
      <c r="R38" s="6" t="n">
        <v>3195</v>
      </c>
      <c r="S38" s="6"/>
      <c r="T38" s="6"/>
      <c r="U38" s="6"/>
      <c r="V38" s="6" t="s">
        <v>65</v>
      </c>
      <c r="W38" s="8"/>
    </row>
    <row r="39" customFormat="false" ht="46.25" hidden="false" customHeight="false" outlineLevel="0" collapsed="false">
      <c r="A39" s="6" t="s">
        <v>239</v>
      </c>
      <c r="B39" s="6" t="s">
        <v>240</v>
      </c>
      <c r="C39" s="6" t="n">
        <v>1878</v>
      </c>
      <c r="D39" s="6" t="s">
        <v>78</v>
      </c>
      <c r="E39" s="6" t="s">
        <v>235</v>
      </c>
      <c r="F39" s="6" t="s">
        <v>236</v>
      </c>
      <c r="G39" s="6" t="s">
        <v>237</v>
      </c>
      <c r="H39" s="6" t="s">
        <v>17</v>
      </c>
      <c r="I39" s="7" t="n">
        <v>55.736984</v>
      </c>
      <c r="J39" s="7" t="n">
        <v>12.574764</v>
      </c>
      <c r="K39" s="6" t="s">
        <v>62</v>
      </c>
      <c r="L39" s="6" t="n">
        <v>2021</v>
      </c>
      <c r="M39" s="6"/>
      <c r="N39" s="6" t="s">
        <v>14</v>
      </c>
      <c r="O39" s="8"/>
      <c r="P39" s="8" t="s">
        <v>241</v>
      </c>
      <c r="Q39" s="6" t="s">
        <v>242</v>
      </c>
      <c r="R39" s="6" t="n">
        <v>1402</v>
      </c>
      <c r="S39" s="6"/>
      <c r="T39" s="6"/>
      <c r="U39" s="6" t="s">
        <v>243</v>
      </c>
      <c r="V39" s="6" t="s">
        <v>65</v>
      </c>
      <c r="W39" s="8"/>
    </row>
    <row r="40" customFormat="false" ht="15" hidden="false" customHeight="false" outlineLevel="0" collapsed="false">
      <c r="A40" s="6" t="s">
        <v>244</v>
      </c>
      <c r="B40" s="6" t="s">
        <v>245</v>
      </c>
      <c r="C40" s="6"/>
      <c r="D40" s="6"/>
      <c r="E40" s="6" t="s">
        <v>246</v>
      </c>
      <c r="F40" s="6" t="s">
        <v>247</v>
      </c>
      <c r="G40" s="6" t="s">
        <v>17</v>
      </c>
      <c r="H40" s="6" t="s">
        <v>17</v>
      </c>
      <c r="I40" s="7" t="n">
        <v>55.745362</v>
      </c>
      <c r="J40" s="7" t="n">
        <v>12.530049</v>
      </c>
      <c r="K40" s="6" t="s">
        <v>62</v>
      </c>
      <c r="L40" s="6" t="n">
        <v>2024</v>
      </c>
      <c r="M40" s="6"/>
      <c r="N40" s="6" t="s">
        <v>14</v>
      </c>
      <c r="O40" s="8"/>
      <c r="P40" s="8"/>
      <c r="Q40" s="6" t="s">
        <v>248</v>
      </c>
      <c r="R40" s="6" t="n">
        <v>2374</v>
      </c>
      <c r="S40" s="6"/>
      <c r="T40" s="6"/>
      <c r="U40" s="6"/>
      <c r="V40" s="6" t="s">
        <v>65</v>
      </c>
      <c r="W40" s="8"/>
    </row>
    <row r="41" customFormat="false" ht="15" hidden="false" customHeight="false" outlineLevel="0" collapsed="false">
      <c r="A41" s="6" t="s">
        <v>249</v>
      </c>
      <c r="B41" s="6" t="s">
        <v>250</v>
      </c>
      <c r="C41" s="6"/>
      <c r="D41" s="6"/>
      <c r="E41" s="6" t="s">
        <v>246</v>
      </c>
      <c r="F41" s="6" t="s">
        <v>247</v>
      </c>
      <c r="G41" s="6" t="s">
        <v>17</v>
      </c>
      <c r="H41" s="6" t="s">
        <v>17</v>
      </c>
      <c r="I41" s="7" t="n">
        <v>55.745263</v>
      </c>
      <c r="J41" s="7" t="n">
        <v>12.530129</v>
      </c>
      <c r="K41" s="6" t="s">
        <v>62</v>
      </c>
      <c r="L41" s="6" t="n">
        <v>2024</v>
      </c>
      <c r="M41" s="6"/>
      <c r="N41" s="6" t="s">
        <v>14</v>
      </c>
      <c r="O41" s="8"/>
      <c r="P41" s="8"/>
      <c r="Q41" s="6" t="s">
        <v>251</v>
      </c>
      <c r="R41" s="6" t="n">
        <v>2376</v>
      </c>
      <c r="S41" s="6"/>
      <c r="T41" s="6"/>
      <c r="U41" s="6"/>
      <c r="V41" s="6" t="s">
        <v>65</v>
      </c>
      <c r="W41" s="8"/>
    </row>
    <row r="42" customFormat="false" ht="35.05" hidden="false" customHeight="false" outlineLevel="0" collapsed="false">
      <c r="A42" s="6" t="s">
        <v>252</v>
      </c>
      <c r="B42" s="6" t="s">
        <v>253</v>
      </c>
      <c r="C42" s="6" t="n">
        <v>1895</v>
      </c>
      <c r="D42" s="6" t="s">
        <v>147</v>
      </c>
      <c r="E42" s="6" t="s">
        <v>254</v>
      </c>
      <c r="F42" s="6" t="s">
        <v>247</v>
      </c>
      <c r="G42" s="6" t="s">
        <v>17</v>
      </c>
      <c r="H42" s="6" t="s">
        <v>17</v>
      </c>
      <c r="I42" s="7" t="n">
        <v>55.751911</v>
      </c>
      <c r="J42" s="7" t="n">
        <v>12.542236</v>
      </c>
      <c r="K42" s="6" t="s">
        <v>62</v>
      </c>
      <c r="L42" s="6" t="n">
        <v>2021</v>
      </c>
      <c r="M42" s="6"/>
      <c r="N42" s="6" t="s">
        <v>14</v>
      </c>
      <c r="O42" s="8"/>
      <c r="P42" s="8" t="s">
        <v>255</v>
      </c>
      <c r="Q42" s="6" t="s">
        <v>256</v>
      </c>
      <c r="R42" s="6" t="n">
        <v>1388</v>
      </c>
      <c r="S42" s="6"/>
      <c r="T42" s="6"/>
      <c r="U42" s="6" t="s">
        <v>257</v>
      </c>
      <c r="V42" s="6" t="s">
        <v>65</v>
      </c>
      <c r="W42" s="8"/>
    </row>
    <row r="43" customFormat="false" ht="15" hidden="false" customHeight="false" outlineLevel="0" collapsed="false">
      <c r="A43" s="6" t="s">
        <v>258</v>
      </c>
      <c r="B43" s="6" t="s">
        <v>259</v>
      </c>
      <c r="C43" s="6"/>
      <c r="D43" s="6"/>
      <c r="E43" s="6" t="s">
        <v>260</v>
      </c>
      <c r="F43" s="6" t="s">
        <v>261</v>
      </c>
      <c r="G43" s="6" t="s">
        <v>262</v>
      </c>
      <c r="H43" s="6" t="s">
        <v>17</v>
      </c>
      <c r="I43" s="7" t="n">
        <v>55.767772</v>
      </c>
      <c r="J43" s="7" t="n">
        <v>12.568715</v>
      </c>
      <c r="K43" s="6" t="s">
        <v>62</v>
      </c>
      <c r="L43" s="6" t="n">
        <v>2023</v>
      </c>
      <c r="M43" s="6"/>
      <c r="N43" s="6" t="s">
        <v>14</v>
      </c>
      <c r="O43" s="8"/>
      <c r="P43" s="8"/>
      <c r="Q43" s="6" t="s">
        <v>263</v>
      </c>
      <c r="R43" s="6" t="n">
        <v>2024</v>
      </c>
      <c r="S43" s="6"/>
      <c r="T43" s="6"/>
      <c r="U43" s="6"/>
      <c r="V43" s="6" t="s">
        <v>65</v>
      </c>
      <c r="W43" s="8"/>
    </row>
    <row r="44" customFormat="false" ht="15" hidden="false" customHeight="false" outlineLevel="0" collapsed="false">
      <c r="A44" s="6" t="s">
        <v>264</v>
      </c>
      <c r="B44" s="6" t="s">
        <v>265</v>
      </c>
      <c r="C44" s="6"/>
      <c r="D44" s="6"/>
      <c r="E44" s="6" t="s">
        <v>266</v>
      </c>
      <c r="F44" s="6" t="s">
        <v>247</v>
      </c>
      <c r="G44" s="6" t="s">
        <v>17</v>
      </c>
      <c r="H44" s="6" t="s">
        <v>17</v>
      </c>
      <c r="I44" s="7" t="n">
        <v>55.753054</v>
      </c>
      <c r="J44" s="7" t="n">
        <v>12.538961</v>
      </c>
      <c r="K44" s="6" t="s">
        <v>62</v>
      </c>
      <c r="L44" s="6" t="n">
        <v>2024</v>
      </c>
      <c r="M44" s="6"/>
      <c r="N44" s="6" t="s">
        <v>14</v>
      </c>
      <c r="O44" s="8"/>
      <c r="P44" s="8"/>
      <c r="Q44" s="6" t="s">
        <v>267</v>
      </c>
      <c r="R44" s="6" t="n">
        <v>2352</v>
      </c>
      <c r="S44" s="6"/>
      <c r="T44" s="6"/>
      <c r="U44" s="6"/>
      <c r="V44" s="6" t="s">
        <v>65</v>
      </c>
      <c r="W44" s="8"/>
    </row>
    <row r="45" customFormat="false" ht="57.45" hidden="false" customHeight="false" outlineLevel="0" collapsed="false">
      <c r="A45" s="6" t="s">
        <v>268</v>
      </c>
      <c r="B45" s="6" t="s">
        <v>269</v>
      </c>
      <c r="C45" s="6" t="n">
        <v>1924</v>
      </c>
      <c r="D45" s="6" t="s">
        <v>78</v>
      </c>
      <c r="E45" s="6" t="s">
        <v>270</v>
      </c>
      <c r="F45" s="6" t="s">
        <v>236</v>
      </c>
      <c r="G45" s="6" t="s">
        <v>237</v>
      </c>
      <c r="H45" s="6" t="s">
        <v>17</v>
      </c>
      <c r="I45" s="7" t="n">
        <v>55.736147</v>
      </c>
      <c r="J45" s="7" t="n">
        <v>12.56236</v>
      </c>
      <c r="K45" s="6" t="s">
        <v>62</v>
      </c>
      <c r="L45" s="6" t="n">
        <v>2022</v>
      </c>
      <c r="M45" s="6"/>
      <c r="N45" s="6" t="s">
        <v>14</v>
      </c>
      <c r="O45" s="8"/>
      <c r="P45" s="8" t="s">
        <v>271</v>
      </c>
      <c r="Q45" s="6" t="s">
        <v>272</v>
      </c>
      <c r="R45" s="6" t="n">
        <v>908</v>
      </c>
      <c r="S45" s="6"/>
      <c r="T45" s="6"/>
      <c r="U45" s="6" t="s">
        <v>273</v>
      </c>
      <c r="V45" s="6" t="s">
        <v>65</v>
      </c>
      <c r="W45" s="8"/>
    </row>
    <row r="46" customFormat="false" ht="35.05" hidden="false" customHeight="false" outlineLevel="0" collapsed="false">
      <c r="A46" s="6" t="s">
        <v>274</v>
      </c>
      <c r="B46" s="6" t="s">
        <v>275</v>
      </c>
      <c r="C46" s="6" t="n">
        <v>1887</v>
      </c>
      <c r="D46" s="6" t="s">
        <v>78</v>
      </c>
      <c r="E46" s="6" t="s">
        <v>270</v>
      </c>
      <c r="F46" s="6" t="s">
        <v>236</v>
      </c>
      <c r="G46" s="6" t="s">
        <v>237</v>
      </c>
      <c r="H46" s="6" t="s">
        <v>17</v>
      </c>
      <c r="I46" s="7" t="n">
        <v>55.736126</v>
      </c>
      <c r="J46" s="7" t="n">
        <v>12.562271</v>
      </c>
      <c r="K46" s="6" t="s">
        <v>62</v>
      </c>
      <c r="L46" s="6" t="n">
        <v>2022</v>
      </c>
      <c r="M46" s="6"/>
      <c r="N46" s="6" t="s">
        <v>14</v>
      </c>
      <c r="O46" s="8"/>
      <c r="P46" s="8" t="s">
        <v>276</v>
      </c>
      <c r="Q46" s="6" t="s">
        <v>277</v>
      </c>
      <c r="R46" s="6" t="n">
        <v>907</v>
      </c>
      <c r="S46" s="6"/>
      <c r="T46" s="6"/>
      <c r="U46" s="6" t="s">
        <v>278</v>
      </c>
      <c r="V46" s="6" t="s">
        <v>65</v>
      </c>
      <c r="W46" s="8"/>
    </row>
    <row r="47" customFormat="false" ht="15" hidden="false" customHeight="false" outlineLevel="0" collapsed="false">
      <c r="A47" s="6" t="s">
        <v>279</v>
      </c>
      <c r="B47" s="6" t="s">
        <v>280</v>
      </c>
      <c r="C47" s="6"/>
      <c r="D47" s="6"/>
      <c r="E47" s="6" t="s">
        <v>281</v>
      </c>
      <c r="F47" s="6" t="s">
        <v>236</v>
      </c>
      <c r="G47" s="6" t="s">
        <v>237</v>
      </c>
      <c r="H47" s="6" t="s">
        <v>17</v>
      </c>
      <c r="I47" s="7" t="n">
        <v>55.741931</v>
      </c>
      <c r="J47" s="7" t="n">
        <v>12.553561</v>
      </c>
      <c r="K47" s="6" t="s">
        <v>62</v>
      </c>
      <c r="L47" s="6" t="n">
        <v>2024</v>
      </c>
      <c r="M47" s="6"/>
      <c r="N47" s="6" t="s">
        <v>14</v>
      </c>
      <c r="O47" s="8"/>
      <c r="P47" s="8"/>
      <c r="Q47" s="6" t="s">
        <v>282</v>
      </c>
      <c r="R47" s="6" t="n">
        <v>2331</v>
      </c>
      <c r="S47" s="6"/>
      <c r="T47" s="6"/>
      <c r="U47" s="6"/>
      <c r="V47" s="6" t="s">
        <v>65</v>
      </c>
      <c r="W47" s="8"/>
    </row>
    <row r="48" customFormat="false" ht="35.05" hidden="false" customHeight="false" outlineLevel="0" collapsed="false">
      <c r="A48" s="6" t="s">
        <v>283</v>
      </c>
      <c r="B48" s="6" t="s">
        <v>284</v>
      </c>
      <c r="C48" s="6" t="n">
        <v>1856</v>
      </c>
      <c r="D48" s="6" t="s">
        <v>78</v>
      </c>
      <c r="E48" s="6" t="s">
        <v>285</v>
      </c>
      <c r="F48" s="6" t="s">
        <v>236</v>
      </c>
      <c r="G48" s="6" t="s">
        <v>237</v>
      </c>
      <c r="H48" s="6" t="s">
        <v>17</v>
      </c>
      <c r="I48" s="7" t="n">
        <v>55.734188</v>
      </c>
      <c r="J48" s="7" t="n">
        <v>12.578911</v>
      </c>
      <c r="K48" s="6" t="s">
        <v>62</v>
      </c>
      <c r="L48" s="6" t="n">
        <v>2021</v>
      </c>
      <c r="M48" s="6"/>
      <c r="N48" s="6" t="s">
        <v>14</v>
      </c>
      <c r="O48" s="8"/>
      <c r="P48" s="8" t="s">
        <v>286</v>
      </c>
      <c r="Q48" s="6" t="s">
        <v>287</v>
      </c>
      <c r="R48" s="6" t="n">
        <v>1032</v>
      </c>
      <c r="S48" s="6"/>
      <c r="T48" s="6"/>
      <c r="U48" s="6" t="s">
        <v>288</v>
      </c>
      <c r="V48" s="6" t="s">
        <v>65</v>
      </c>
      <c r="W48" s="8"/>
    </row>
    <row r="49" customFormat="false" ht="15" hidden="false" customHeight="false" outlineLevel="0" collapsed="false">
      <c r="A49" s="6" t="s">
        <v>289</v>
      </c>
      <c r="B49" s="6" t="s">
        <v>290</v>
      </c>
      <c r="C49" s="6"/>
      <c r="D49" s="6"/>
      <c r="E49" s="6" t="s">
        <v>291</v>
      </c>
      <c r="F49" s="6" t="s">
        <v>247</v>
      </c>
      <c r="G49" s="6" t="s">
        <v>17</v>
      </c>
      <c r="H49" s="6" t="s">
        <v>17</v>
      </c>
      <c r="I49" s="7" t="n">
        <v>55.747897</v>
      </c>
      <c r="J49" s="7" t="n">
        <v>12.503658</v>
      </c>
      <c r="K49" s="6" t="s">
        <v>62</v>
      </c>
      <c r="L49" s="6" t="n">
        <v>2026</v>
      </c>
      <c r="M49" s="6"/>
      <c r="N49" s="6" t="s">
        <v>14</v>
      </c>
      <c r="O49" s="8"/>
      <c r="P49" s="8"/>
      <c r="Q49" s="6" t="s">
        <v>292</v>
      </c>
      <c r="R49" s="6" t="n">
        <v>3265</v>
      </c>
      <c r="S49" s="6"/>
      <c r="T49" s="6"/>
      <c r="U49" s="6"/>
      <c r="V49" s="6" t="s">
        <v>65</v>
      </c>
      <c r="W49" s="8"/>
    </row>
    <row r="50" customFormat="false" ht="15" hidden="false" customHeight="false" outlineLevel="0" collapsed="false">
      <c r="A50" s="6" t="s">
        <v>293</v>
      </c>
      <c r="B50" s="6" t="s">
        <v>294</v>
      </c>
      <c r="C50" s="6"/>
      <c r="D50" s="6"/>
      <c r="E50" s="6" t="s">
        <v>291</v>
      </c>
      <c r="F50" s="6" t="s">
        <v>247</v>
      </c>
      <c r="G50" s="6" t="s">
        <v>17</v>
      </c>
      <c r="H50" s="6" t="s">
        <v>17</v>
      </c>
      <c r="I50" s="7" t="n">
        <v>55.747997</v>
      </c>
      <c r="J50" s="7" t="n">
        <v>12.503808</v>
      </c>
      <c r="K50" s="6" t="s">
        <v>62</v>
      </c>
      <c r="L50" s="6" t="n">
        <v>2026</v>
      </c>
      <c r="M50" s="6"/>
      <c r="N50" s="6" t="s">
        <v>14</v>
      </c>
      <c r="O50" s="8"/>
      <c r="P50" s="8"/>
      <c r="Q50" s="6" t="s">
        <v>295</v>
      </c>
      <c r="R50" s="6" t="n">
        <v>3260</v>
      </c>
      <c r="S50" s="6"/>
      <c r="T50" s="6"/>
      <c r="U50" s="6"/>
      <c r="V50" s="6" t="s">
        <v>65</v>
      </c>
      <c r="W50" s="8"/>
    </row>
    <row r="51" customFormat="false" ht="15" hidden="false" customHeight="false" outlineLevel="0" collapsed="false">
      <c r="A51" s="6" t="s">
        <v>296</v>
      </c>
      <c r="B51" s="6" t="s">
        <v>297</v>
      </c>
      <c r="C51" s="6"/>
      <c r="D51" s="6"/>
      <c r="E51" s="6" t="s">
        <v>291</v>
      </c>
      <c r="F51" s="6" t="s">
        <v>247</v>
      </c>
      <c r="G51" s="6" t="s">
        <v>17</v>
      </c>
      <c r="H51" s="6" t="s">
        <v>17</v>
      </c>
      <c r="I51" s="7" t="n">
        <v>55.747997</v>
      </c>
      <c r="J51" s="7" t="n">
        <v>12.503688</v>
      </c>
      <c r="K51" s="6" t="s">
        <v>62</v>
      </c>
      <c r="L51" s="6" t="n">
        <v>2026</v>
      </c>
      <c r="M51" s="6"/>
      <c r="N51" s="6" t="s">
        <v>14</v>
      </c>
      <c r="O51" s="8"/>
      <c r="P51" s="8"/>
      <c r="Q51" s="6" t="s">
        <v>298</v>
      </c>
      <c r="R51" s="6" t="n">
        <v>3266</v>
      </c>
      <c r="S51" s="6"/>
      <c r="T51" s="6"/>
      <c r="U51" s="6"/>
      <c r="V51" s="6" t="s">
        <v>65</v>
      </c>
      <c r="W51" s="8"/>
    </row>
    <row r="52" customFormat="false" ht="15" hidden="false" customHeight="false" outlineLevel="0" collapsed="false">
      <c r="A52" s="6" t="s">
        <v>299</v>
      </c>
      <c r="B52" s="6" t="s">
        <v>300</v>
      </c>
      <c r="C52" s="6"/>
      <c r="D52" s="6"/>
      <c r="E52" s="6" t="s">
        <v>291</v>
      </c>
      <c r="F52" s="6" t="s">
        <v>247</v>
      </c>
      <c r="G52" s="6" t="s">
        <v>17</v>
      </c>
      <c r="H52" s="6" t="s">
        <v>17</v>
      </c>
      <c r="I52" s="7" t="n">
        <v>55.747997</v>
      </c>
      <c r="J52" s="7" t="n">
        <v>12.503798</v>
      </c>
      <c r="K52" s="6" t="s">
        <v>62</v>
      </c>
      <c r="L52" s="6" t="n">
        <v>2026</v>
      </c>
      <c r="M52" s="6"/>
      <c r="N52" s="6" t="s">
        <v>14</v>
      </c>
      <c r="O52" s="8"/>
      <c r="P52" s="8"/>
      <c r="Q52" s="6" t="s">
        <v>301</v>
      </c>
      <c r="R52" s="6" t="n">
        <v>3262</v>
      </c>
      <c r="S52" s="6"/>
      <c r="T52" s="6"/>
      <c r="U52" s="6"/>
      <c r="V52" s="6" t="s">
        <v>65</v>
      </c>
      <c r="W52" s="8"/>
    </row>
    <row r="53" customFormat="false" ht="15" hidden="false" customHeight="false" outlineLevel="0" collapsed="false">
      <c r="A53" s="6" t="s">
        <v>302</v>
      </c>
      <c r="B53" s="6" t="s">
        <v>303</v>
      </c>
      <c r="C53" s="6"/>
      <c r="D53" s="6"/>
      <c r="E53" s="6" t="s">
        <v>304</v>
      </c>
      <c r="F53" s="6" t="s">
        <v>247</v>
      </c>
      <c r="G53" s="6" t="s">
        <v>17</v>
      </c>
      <c r="H53" s="6" t="s">
        <v>17</v>
      </c>
      <c r="I53" s="7" t="n">
        <v>55.747977</v>
      </c>
      <c r="J53" s="7" t="n">
        <v>12.50316</v>
      </c>
      <c r="K53" s="6" t="s">
        <v>62</v>
      </c>
      <c r="L53" s="6" t="n">
        <v>2026</v>
      </c>
      <c r="M53" s="6"/>
      <c r="N53" s="6" t="s">
        <v>14</v>
      </c>
      <c r="O53" s="8"/>
      <c r="P53" s="8"/>
      <c r="Q53" s="6" t="s">
        <v>305</v>
      </c>
      <c r="R53" s="6" t="n">
        <v>3234</v>
      </c>
      <c r="S53" s="6"/>
      <c r="T53" s="6"/>
      <c r="U53" s="6"/>
      <c r="V53" s="6" t="s">
        <v>65</v>
      </c>
      <c r="W53" s="8"/>
    </row>
    <row r="54" customFormat="false" ht="46.25" hidden="false" customHeight="false" outlineLevel="0" collapsed="false">
      <c r="A54" s="6" t="s">
        <v>306</v>
      </c>
      <c r="B54" s="6" t="s">
        <v>307</v>
      </c>
      <c r="C54" s="6" t="n">
        <v>1867</v>
      </c>
      <c r="D54" s="6" t="s">
        <v>78</v>
      </c>
      <c r="E54" s="6" t="s">
        <v>308</v>
      </c>
      <c r="F54" s="6" t="s">
        <v>236</v>
      </c>
      <c r="G54" s="6" t="s">
        <v>237</v>
      </c>
      <c r="H54" s="6" t="s">
        <v>17</v>
      </c>
      <c r="I54" s="7" t="n">
        <v>55.735489</v>
      </c>
      <c r="J54" s="7" t="n">
        <v>12.574534</v>
      </c>
      <c r="K54" s="6" t="s">
        <v>62</v>
      </c>
      <c r="L54" s="6" t="n">
        <v>2021</v>
      </c>
      <c r="M54" s="6"/>
      <c r="N54" s="6" t="s">
        <v>14</v>
      </c>
      <c r="O54" s="8"/>
      <c r="P54" s="8" t="s">
        <v>309</v>
      </c>
      <c r="Q54" s="6" t="s">
        <v>310</v>
      </c>
      <c r="R54" s="6" t="n">
        <v>1364</v>
      </c>
      <c r="S54" s="6"/>
      <c r="T54" s="6"/>
      <c r="U54" s="6" t="s">
        <v>311</v>
      </c>
      <c r="V54" s="6" t="s">
        <v>99</v>
      </c>
      <c r="W54" s="8" t="s">
        <v>312</v>
      </c>
    </row>
    <row r="55" customFormat="false" ht="46.25" hidden="false" customHeight="false" outlineLevel="0" collapsed="false">
      <c r="A55" s="6" t="s">
        <v>313</v>
      </c>
      <c r="B55" s="6" t="s">
        <v>314</v>
      </c>
      <c r="C55" s="6" t="n">
        <v>1863</v>
      </c>
      <c r="D55" s="6" t="s">
        <v>78</v>
      </c>
      <c r="E55" s="6" t="s">
        <v>315</v>
      </c>
      <c r="F55" s="6" t="s">
        <v>236</v>
      </c>
      <c r="G55" s="6" t="s">
        <v>237</v>
      </c>
      <c r="H55" s="6" t="s">
        <v>17</v>
      </c>
      <c r="I55" s="7" t="n">
        <v>55.733876</v>
      </c>
      <c r="J55" s="7" t="n">
        <v>12.580785</v>
      </c>
      <c r="K55" s="6" t="s">
        <v>62</v>
      </c>
      <c r="L55" s="6" t="n">
        <v>2021</v>
      </c>
      <c r="M55" s="6"/>
      <c r="N55" s="6" t="s">
        <v>14</v>
      </c>
      <c r="O55" s="8"/>
      <c r="P55" s="8" t="s">
        <v>316</v>
      </c>
      <c r="Q55" s="6" t="s">
        <v>317</v>
      </c>
      <c r="R55" s="6" t="n">
        <v>1372</v>
      </c>
      <c r="S55" s="6"/>
      <c r="T55" s="6"/>
      <c r="U55" s="6" t="s">
        <v>318</v>
      </c>
      <c r="V55" s="6" t="s">
        <v>65</v>
      </c>
      <c r="W55" s="8"/>
    </row>
    <row r="56" customFormat="false" ht="35.05" hidden="false" customHeight="false" outlineLevel="0" collapsed="false">
      <c r="A56" s="6" t="s">
        <v>319</v>
      </c>
      <c r="B56" s="6" t="s">
        <v>320</v>
      </c>
      <c r="C56" s="6" t="n">
        <v>1863</v>
      </c>
      <c r="D56" s="6" t="s">
        <v>78</v>
      </c>
      <c r="E56" s="6" t="s">
        <v>315</v>
      </c>
      <c r="F56" s="6" t="s">
        <v>236</v>
      </c>
      <c r="G56" s="6" t="s">
        <v>237</v>
      </c>
      <c r="H56" s="6" t="s">
        <v>17</v>
      </c>
      <c r="I56" s="7" t="n">
        <v>55.733806</v>
      </c>
      <c r="J56" s="7" t="n">
        <v>12.580745</v>
      </c>
      <c r="K56" s="6" t="s">
        <v>62</v>
      </c>
      <c r="L56" s="6" t="n">
        <v>2021</v>
      </c>
      <c r="M56" s="6"/>
      <c r="N56" s="6" t="s">
        <v>14</v>
      </c>
      <c r="O56" s="8"/>
      <c r="P56" s="8" t="s">
        <v>321</v>
      </c>
      <c r="Q56" s="6" t="s">
        <v>322</v>
      </c>
      <c r="R56" s="6" t="n">
        <v>1371</v>
      </c>
      <c r="S56" s="6"/>
      <c r="T56" s="6"/>
      <c r="U56" s="6" t="s">
        <v>323</v>
      </c>
      <c r="V56" s="6" t="s">
        <v>65</v>
      </c>
      <c r="W56" s="8"/>
    </row>
    <row r="57" customFormat="false" ht="46.25" hidden="false" customHeight="false" outlineLevel="0" collapsed="false">
      <c r="A57" s="6" t="s">
        <v>324</v>
      </c>
      <c r="B57" s="6" t="s">
        <v>325</v>
      </c>
      <c r="C57" s="6" t="n">
        <v>1889</v>
      </c>
      <c r="D57" s="6" t="s">
        <v>78</v>
      </c>
      <c r="E57" s="6" t="s">
        <v>326</v>
      </c>
      <c r="F57" s="6" t="s">
        <v>247</v>
      </c>
      <c r="G57" s="6" t="s">
        <v>17</v>
      </c>
      <c r="H57" s="6" t="s">
        <v>17</v>
      </c>
      <c r="I57" s="7" t="n">
        <v>55.770106</v>
      </c>
      <c r="J57" s="7" t="n">
        <v>12.591511</v>
      </c>
      <c r="K57" s="6" t="s">
        <v>62</v>
      </c>
      <c r="L57" s="6" t="n">
        <v>2020</v>
      </c>
      <c r="M57" s="6"/>
      <c r="N57" s="6" t="s">
        <v>14</v>
      </c>
      <c r="O57" s="8"/>
      <c r="P57" s="8" t="s">
        <v>327</v>
      </c>
      <c r="Q57" s="6" t="s">
        <v>328</v>
      </c>
      <c r="R57" s="6" t="n">
        <v>973</v>
      </c>
      <c r="S57" s="6"/>
      <c r="T57" s="6"/>
      <c r="U57" s="6" t="s">
        <v>329</v>
      </c>
      <c r="V57" s="6" t="s">
        <v>65</v>
      </c>
      <c r="W57" s="8"/>
    </row>
    <row r="58" customFormat="false" ht="15" hidden="false" customHeight="false" outlineLevel="0" collapsed="false">
      <c r="A58" s="6" t="s">
        <v>330</v>
      </c>
      <c r="B58" s="6" t="s">
        <v>331</v>
      </c>
      <c r="C58" s="6"/>
      <c r="D58" s="6"/>
      <c r="E58" s="6" t="s">
        <v>332</v>
      </c>
      <c r="F58" s="6" t="s">
        <v>261</v>
      </c>
      <c r="G58" s="6" t="s">
        <v>262</v>
      </c>
      <c r="H58" s="6" t="s">
        <v>17</v>
      </c>
      <c r="I58" s="7" t="n">
        <v>55.75108</v>
      </c>
      <c r="J58" s="7" t="n">
        <v>12.566934</v>
      </c>
      <c r="K58" s="6" t="s">
        <v>62</v>
      </c>
      <c r="L58" s="6" t="n">
        <v>2025</v>
      </c>
      <c r="M58" s="6"/>
      <c r="N58" s="6" t="s">
        <v>14</v>
      </c>
      <c r="O58" s="8"/>
      <c r="P58" s="8"/>
      <c r="Q58" s="6" t="s">
        <v>333</v>
      </c>
      <c r="R58" s="6" t="n">
        <v>2763</v>
      </c>
      <c r="S58" s="6"/>
      <c r="T58" s="6"/>
      <c r="U58" s="6"/>
      <c r="V58" s="6" t="s">
        <v>65</v>
      </c>
      <c r="W58" s="8"/>
    </row>
    <row r="59" customFormat="false" ht="15" hidden="false" customHeight="false" outlineLevel="0" collapsed="false">
      <c r="A59" s="6" t="s">
        <v>334</v>
      </c>
      <c r="B59" s="6" t="s">
        <v>335</v>
      </c>
      <c r="C59" s="6"/>
      <c r="D59" s="6"/>
      <c r="E59" s="6" t="s">
        <v>332</v>
      </c>
      <c r="F59" s="6" t="s">
        <v>261</v>
      </c>
      <c r="G59" s="6" t="s">
        <v>262</v>
      </c>
      <c r="H59" s="6" t="s">
        <v>17</v>
      </c>
      <c r="I59" s="7" t="n">
        <v>55.75115</v>
      </c>
      <c r="J59" s="7" t="n">
        <v>12.566954</v>
      </c>
      <c r="K59" s="6" t="s">
        <v>62</v>
      </c>
      <c r="L59" s="6" t="n">
        <v>2025</v>
      </c>
      <c r="M59" s="6"/>
      <c r="N59" s="6" t="s">
        <v>14</v>
      </c>
      <c r="O59" s="8"/>
      <c r="P59" s="8"/>
      <c r="Q59" s="6" t="s">
        <v>336</v>
      </c>
      <c r="R59" s="6" t="n">
        <v>2760</v>
      </c>
      <c r="S59" s="6"/>
      <c r="T59" s="6"/>
      <c r="U59" s="6"/>
      <c r="V59" s="6" t="s">
        <v>65</v>
      </c>
      <c r="W59" s="8"/>
    </row>
    <row r="60" customFormat="false" ht="15" hidden="false" customHeight="false" outlineLevel="0" collapsed="false">
      <c r="A60" s="6" t="s">
        <v>337</v>
      </c>
      <c r="B60" s="6" t="s">
        <v>338</v>
      </c>
      <c r="C60" s="6"/>
      <c r="D60" s="6"/>
      <c r="E60" s="6" t="s">
        <v>339</v>
      </c>
      <c r="F60" s="6" t="s">
        <v>340</v>
      </c>
      <c r="G60" s="6" t="s">
        <v>341</v>
      </c>
      <c r="H60" s="6" t="s">
        <v>33</v>
      </c>
      <c r="I60" s="7" t="n">
        <v>55.729887</v>
      </c>
      <c r="J60" s="7" t="n">
        <v>12.510515</v>
      </c>
      <c r="K60" s="6" t="s">
        <v>62</v>
      </c>
      <c r="L60" s="6" t="n">
        <v>2024</v>
      </c>
      <c r="M60" s="6"/>
      <c r="N60" s="6" t="s">
        <v>14</v>
      </c>
      <c r="O60" s="8"/>
      <c r="P60" s="8"/>
      <c r="Q60" s="6" t="s">
        <v>342</v>
      </c>
      <c r="R60" s="6" t="n">
        <v>2400</v>
      </c>
      <c r="S60" s="6"/>
      <c r="T60" s="6"/>
      <c r="U60" s="6"/>
      <c r="V60" s="6" t="s">
        <v>65</v>
      </c>
      <c r="W60" s="8"/>
    </row>
    <row r="61" customFormat="false" ht="15" hidden="false" customHeight="false" outlineLevel="0" collapsed="false">
      <c r="A61" s="6" t="s">
        <v>343</v>
      </c>
      <c r="B61" s="6" t="s">
        <v>344</v>
      </c>
      <c r="C61" s="6"/>
      <c r="D61" s="6"/>
      <c r="E61" s="6" t="s">
        <v>345</v>
      </c>
      <c r="F61" s="6" t="s">
        <v>346</v>
      </c>
      <c r="G61" s="6" t="s">
        <v>34</v>
      </c>
      <c r="H61" s="6" t="s">
        <v>34</v>
      </c>
      <c r="I61" s="7" t="n">
        <v>55.715653</v>
      </c>
      <c r="J61" s="7" t="n">
        <v>11.723118</v>
      </c>
      <c r="K61" s="6" t="s">
        <v>62</v>
      </c>
      <c r="L61" s="6" t="n">
        <v>2025</v>
      </c>
      <c r="M61" s="6"/>
      <c r="N61" s="6" t="s">
        <v>14</v>
      </c>
      <c r="O61" s="8"/>
      <c r="P61" s="8"/>
      <c r="Q61" s="6" t="s">
        <v>347</v>
      </c>
      <c r="R61" s="6" t="n">
        <v>2794</v>
      </c>
      <c r="S61" s="6"/>
      <c r="T61" s="6"/>
      <c r="U61" s="6"/>
      <c r="V61" s="6" t="s">
        <v>65</v>
      </c>
      <c r="W61" s="8"/>
    </row>
    <row r="62" customFormat="false" ht="15" hidden="false" customHeight="false" outlineLevel="0" collapsed="false">
      <c r="A62" s="6" t="s">
        <v>348</v>
      </c>
      <c r="B62" s="6" t="s">
        <v>349</v>
      </c>
      <c r="C62" s="6"/>
      <c r="D62" s="6"/>
      <c r="E62" s="6" t="s">
        <v>350</v>
      </c>
      <c r="F62" s="6" t="s">
        <v>351</v>
      </c>
      <c r="G62" s="6" t="s">
        <v>23</v>
      </c>
      <c r="H62" s="6" t="s">
        <v>23</v>
      </c>
      <c r="I62" s="7" t="n">
        <v>55.484092</v>
      </c>
      <c r="J62" s="7" t="n">
        <v>9.471617</v>
      </c>
      <c r="K62" s="6" t="s">
        <v>62</v>
      </c>
      <c r="L62" s="6" t="n">
        <v>2021</v>
      </c>
      <c r="M62" s="6"/>
      <c r="N62" s="6" t="s">
        <v>14</v>
      </c>
      <c r="O62" s="8"/>
      <c r="P62" s="8"/>
      <c r="Q62" s="6" t="s">
        <v>352</v>
      </c>
      <c r="R62" s="6" t="n">
        <v>553</v>
      </c>
      <c r="S62" s="6"/>
      <c r="T62" s="6"/>
      <c r="U62" s="6"/>
      <c r="V62" s="6" t="s">
        <v>65</v>
      </c>
      <c r="W62" s="8"/>
    </row>
    <row r="63" customFormat="false" ht="15" hidden="false" customHeight="false" outlineLevel="0" collapsed="false">
      <c r="A63" s="6" t="s">
        <v>353</v>
      </c>
      <c r="B63" s="6" t="s">
        <v>354</v>
      </c>
      <c r="C63" s="6"/>
      <c r="D63" s="6"/>
      <c r="E63" s="6" t="s">
        <v>355</v>
      </c>
      <c r="F63" s="6" t="s">
        <v>351</v>
      </c>
      <c r="G63" s="6" t="s">
        <v>23</v>
      </c>
      <c r="H63" s="6" t="s">
        <v>23</v>
      </c>
      <c r="I63" s="7" t="n">
        <v>55.486167</v>
      </c>
      <c r="J63" s="7" t="n">
        <v>9.468492</v>
      </c>
      <c r="K63" s="6" t="s">
        <v>62</v>
      </c>
      <c r="L63" s="6" t="n">
        <v>2021</v>
      </c>
      <c r="M63" s="6"/>
      <c r="N63" s="6" t="s">
        <v>14</v>
      </c>
      <c r="O63" s="8"/>
      <c r="P63" s="8"/>
      <c r="Q63" s="6" t="s">
        <v>356</v>
      </c>
      <c r="R63" s="6" t="n">
        <v>550</v>
      </c>
      <c r="S63" s="6"/>
      <c r="T63" s="6"/>
      <c r="U63" s="6"/>
      <c r="V63" s="6" t="s">
        <v>65</v>
      </c>
      <c r="W63" s="8"/>
    </row>
    <row r="64" customFormat="false" ht="15" hidden="false" customHeight="false" outlineLevel="0" collapsed="false">
      <c r="A64" s="6" t="s">
        <v>357</v>
      </c>
      <c r="B64" s="6" t="s">
        <v>358</v>
      </c>
      <c r="C64" s="6"/>
      <c r="D64" s="6"/>
      <c r="E64" s="6" t="s">
        <v>359</v>
      </c>
      <c r="F64" s="6" t="s">
        <v>351</v>
      </c>
      <c r="G64" s="6" t="s">
        <v>23</v>
      </c>
      <c r="H64" s="6" t="s">
        <v>23</v>
      </c>
      <c r="I64" s="7" t="n">
        <v>55.470788</v>
      </c>
      <c r="J64" s="7" t="n">
        <v>9.470961</v>
      </c>
      <c r="K64" s="6" t="s">
        <v>62</v>
      </c>
      <c r="L64" s="6" t="n">
        <v>2021</v>
      </c>
      <c r="M64" s="6"/>
      <c r="N64" s="6" t="s">
        <v>14</v>
      </c>
      <c r="O64" s="8"/>
      <c r="P64" s="8"/>
      <c r="Q64" s="6" t="s">
        <v>360</v>
      </c>
      <c r="R64" s="6" t="n">
        <v>918</v>
      </c>
      <c r="S64" s="6"/>
      <c r="T64" s="6"/>
      <c r="U64" s="6"/>
      <c r="V64" s="6" t="s">
        <v>65</v>
      </c>
      <c r="W64" s="8"/>
    </row>
    <row r="65" customFormat="false" ht="15" hidden="false" customHeight="false" outlineLevel="0" collapsed="false">
      <c r="A65" s="6" t="s">
        <v>361</v>
      </c>
      <c r="B65" s="6" t="s">
        <v>362</v>
      </c>
      <c r="C65" s="6"/>
      <c r="D65" s="6"/>
      <c r="E65" s="6" t="s">
        <v>359</v>
      </c>
      <c r="F65" s="6" t="s">
        <v>351</v>
      </c>
      <c r="G65" s="6" t="s">
        <v>23</v>
      </c>
      <c r="H65" s="6" t="s">
        <v>23</v>
      </c>
      <c r="I65" s="7" t="n">
        <v>55.470828</v>
      </c>
      <c r="J65" s="7" t="n">
        <v>9.471081</v>
      </c>
      <c r="K65" s="6" t="s">
        <v>62</v>
      </c>
      <c r="L65" s="6" t="n">
        <v>2021</v>
      </c>
      <c r="M65" s="6"/>
      <c r="N65" s="6" t="s">
        <v>14</v>
      </c>
      <c r="O65" s="8"/>
      <c r="P65" s="8"/>
      <c r="Q65" s="6" t="s">
        <v>363</v>
      </c>
      <c r="R65" s="6" t="n">
        <v>917</v>
      </c>
      <c r="S65" s="6"/>
      <c r="T65" s="6"/>
      <c r="U65" s="6"/>
      <c r="V65" s="6" t="s">
        <v>65</v>
      </c>
      <c r="W65" s="8"/>
    </row>
    <row r="66" customFormat="false" ht="15" hidden="false" customHeight="false" outlineLevel="0" collapsed="false">
      <c r="A66" s="6" t="s">
        <v>364</v>
      </c>
      <c r="B66" s="6" t="s">
        <v>365</v>
      </c>
      <c r="C66" s="6"/>
      <c r="D66" s="6"/>
      <c r="E66" s="6" t="s">
        <v>366</v>
      </c>
      <c r="F66" s="6" t="s">
        <v>351</v>
      </c>
      <c r="G66" s="6" t="s">
        <v>23</v>
      </c>
      <c r="H66" s="6" t="s">
        <v>23</v>
      </c>
      <c r="I66" s="7" t="n">
        <v>55.482581</v>
      </c>
      <c r="J66" s="7" t="n">
        <v>9.471821</v>
      </c>
      <c r="K66" s="6" t="s">
        <v>62</v>
      </c>
      <c r="L66" s="6" t="n">
        <v>2021</v>
      </c>
      <c r="M66" s="6"/>
      <c r="N66" s="6" t="s">
        <v>14</v>
      </c>
      <c r="O66" s="8"/>
      <c r="P66" s="8"/>
      <c r="Q66" s="6" t="s">
        <v>367</v>
      </c>
      <c r="R66" s="6" t="n">
        <v>554</v>
      </c>
      <c r="S66" s="6"/>
      <c r="T66" s="6"/>
      <c r="U66" s="6"/>
      <c r="V66" s="6" t="s">
        <v>65</v>
      </c>
      <c r="W66" s="8"/>
    </row>
    <row r="67" customFormat="false" ht="15" hidden="false" customHeight="false" outlineLevel="0" collapsed="false">
      <c r="A67" s="6" t="s">
        <v>368</v>
      </c>
      <c r="B67" s="6" t="s">
        <v>369</v>
      </c>
      <c r="C67" s="6"/>
      <c r="D67" s="6"/>
      <c r="E67" s="6" t="s">
        <v>370</v>
      </c>
      <c r="F67" s="6" t="s">
        <v>371</v>
      </c>
      <c r="G67" s="6" t="s">
        <v>372</v>
      </c>
      <c r="H67" s="6" t="s">
        <v>13</v>
      </c>
      <c r="I67" s="7" t="n">
        <v>55.697468</v>
      </c>
      <c r="J67" s="7" t="n">
        <v>12.589726</v>
      </c>
      <c r="K67" s="6" t="s">
        <v>62</v>
      </c>
      <c r="L67" s="6" t="n">
        <v>2025</v>
      </c>
      <c r="M67" s="6"/>
      <c r="N67" s="6" t="s">
        <v>14</v>
      </c>
      <c r="O67" s="8"/>
      <c r="P67" s="8"/>
      <c r="Q67" s="6" t="s">
        <v>373</v>
      </c>
      <c r="R67" s="6" t="n">
        <v>2820</v>
      </c>
      <c r="S67" s="6"/>
      <c r="T67" s="6"/>
      <c r="U67" s="6"/>
      <c r="V67" s="6" t="s">
        <v>65</v>
      </c>
      <c r="W67" s="8"/>
    </row>
    <row r="68" customFormat="false" ht="15" hidden="false" customHeight="false" outlineLevel="0" collapsed="false">
      <c r="A68" s="6" t="s">
        <v>374</v>
      </c>
      <c r="B68" s="6" t="s">
        <v>375</v>
      </c>
      <c r="C68" s="6"/>
      <c r="D68" s="6"/>
      <c r="E68" s="6" t="s">
        <v>376</v>
      </c>
      <c r="F68" s="6" t="s">
        <v>377</v>
      </c>
      <c r="G68" s="6" t="s">
        <v>378</v>
      </c>
      <c r="H68" s="6" t="s">
        <v>13</v>
      </c>
      <c r="I68" s="7" t="n">
        <v>55.663691</v>
      </c>
      <c r="J68" s="7" t="n">
        <v>12.583631</v>
      </c>
      <c r="K68" s="6" t="s">
        <v>62</v>
      </c>
      <c r="L68" s="6" t="n">
        <v>2024</v>
      </c>
      <c r="M68" s="6"/>
      <c r="N68" s="6" t="s">
        <v>14</v>
      </c>
      <c r="O68" s="8"/>
      <c r="P68" s="8"/>
      <c r="Q68" s="6" t="s">
        <v>379</v>
      </c>
      <c r="R68" s="6" t="n">
        <v>2372</v>
      </c>
      <c r="S68" s="6"/>
      <c r="T68" s="6"/>
      <c r="U68" s="6"/>
      <c r="V68" s="6" t="s">
        <v>65</v>
      </c>
      <c r="W68" s="8"/>
    </row>
    <row r="69" customFormat="false" ht="46.25" hidden="false" customHeight="false" outlineLevel="0" collapsed="false">
      <c r="A69" s="6" t="s">
        <v>380</v>
      </c>
      <c r="B69" s="6" t="s">
        <v>381</v>
      </c>
      <c r="C69" s="6" t="n">
        <v>1856</v>
      </c>
      <c r="D69" s="6" t="s">
        <v>78</v>
      </c>
      <c r="E69" s="6" t="s">
        <v>382</v>
      </c>
      <c r="F69" s="6" t="s">
        <v>383</v>
      </c>
      <c r="G69" s="6" t="s">
        <v>384</v>
      </c>
      <c r="H69" s="6" t="s">
        <v>13</v>
      </c>
      <c r="I69" s="7" t="n">
        <v>55.686352</v>
      </c>
      <c r="J69" s="7" t="n">
        <v>12.568182</v>
      </c>
      <c r="K69" s="6" t="s">
        <v>62</v>
      </c>
      <c r="L69" s="6" t="n">
        <v>2021</v>
      </c>
      <c r="M69" s="6"/>
      <c r="N69" s="6" t="s">
        <v>14</v>
      </c>
      <c r="O69" s="8"/>
      <c r="P69" s="8" t="s">
        <v>385</v>
      </c>
      <c r="Q69" s="6" t="s">
        <v>386</v>
      </c>
      <c r="R69" s="6" t="n">
        <v>546</v>
      </c>
      <c r="S69" s="6"/>
      <c r="T69" s="6"/>
      <c r="U69" s="6" t="s">
        <v>387</v>
      </c>
      <c r="V69" s="6" t="s">
        <v>65</v>
      </c>
      <c r="W69" s="8"/>
    </row>
    <row r="70" customFormat="false" ht="15" hidden="false" customHeight="false" outlineLevel="0" collapsed="false">
      <c r="A70" s="6" t="s">
        <v>388</v>
      </c>
      <c r="B70" s="6" t="s">
        <v>389</v>
      </c>
      <c r="C70" s="6"/>
      <c r="D70" s="6"/>
      <c r="E70" s="6" t="s">
        <v>390</v>
      </c>
      <c r="F70" s="6" t="s">
        <v>371</v>
      </c>
      <c r="G70" s="6" t="s">
        <v>372</v>
      </c>
      <c r="H70" s="6" t="s">
        <v>13</v>
      </c>
      <c r="I70" s="7" t="n">
        <v>55.696875</v>
      </c>
      <c r="J70" s="7" t="n">
        <v>12.571623</v>
      </c>
      <c r="K70" s="6" t="s">
        <v>62</v>
      </c>
      <c r="L70" s="6" t="n">
        <v>2023</v>
      </c>
      <c r="M70" s="6"/>
      <c r="N70" s="6" t="s">
        <v>14</v>
      </c>
      <c r="O70" s="8"/>
      <c r="P70" s="8"/>
      <c r="Q70" s="6" t="s">
        <v>391</v>
      </c>
      <c r="R70" s="6" t="n">
        <v>1841</v>
      </c>
      <c r="S70" s="6"/>
      <c r="T70" s="6"/>
      <c r="U70" s="6"/>
      <c r="V70" s="6" t="s">
        <v>65</v>
      </c>
      <c r="W70" s="8"/>
    </row>
    <row r="71" customFormat="false" ht="15" hidden="false" customHeight="false" outlineLevel="0" collapsed="false">
      <c r="A71" s="6" t="s">
        <v>392</v>
      </c>
      <c r="B71" s="6" t="s">
        <v>393</v>
      </c>
      <c r="C71" s="6"/>
      <c r="D71" s="6"/>
      <c r="E71" s="6" t="s">
        <v>394</v>
      </c>
      <c r="F71" s="6" t="s">
        <v>395</v>
      </c>
      <c r="G71" s="6" t="s">
        <v>396</v>
      </c>
      <c r="H71" s="6" t="s">
        <v>13</v>
      </c>
      <c r="I71" s="7" t="n">
        <v>55.684234</v>
      </c>
      <c r="J71" s="7" t="n">
        <v>12.4859</v>
      </c>
      <c r="K71" s="6" t="s">
        <v>62</v>
      </c>
      <c r="L71" s="6" t="n">
        <v>2025</v>
      </c>
      <c r="M71" s="6"/>
      <c r="N71" s="6" t="s">
        <v>14</v>
      </c>
      <c r="O71" s="8"/>
      <c r="P71" s="8"/>
      <c r="Q71" s="6" t="s">
        <v>397</v>
      </c>
      <c r="R71" s="6" t="n">
        <v>2736</v>
      </c>
      <c r="S71" s="6"/>
      <c r="T71" s="6"/>
      <c r="U71" s="6"/>
      <c r="V71" s="6" t="s">
        <v>65</v>
      </c>
      <c r="W71" s="8"/>
    </row>
    <row r="72" customFormat="false" ht="15" hidden="false" customHeight="false" outlineLevel="0" collapsed="false">
      <c r="A72" s="6" t="s">
        <v>398</v>
      </c>
      <c r="B72" s="6" t="s">
        <v>399</v>
      </c>
      <c r="C72" s="6"/>
      <c r="D72" s="6"/>
      <c r="E72" s="6" t="s">
        <v>394</v>
      </c>
      <c r="F72" s="6" t="s">
        <v>395</v>
      </c>
      <c r="G72" s="6" t="s">
        <v>396</v>
      </c>
      <c r="H72" s="6" t="s">
        <v>13</v>
      </c>
      <c r="I72" s="7" t="n">
        <v>55.684244</v>
      </c>
      <c r="J72" s="7" t="n">
        <v>12.48585</v>
      </c>
      <c r="K72" s="6" t="s">
        <v>62</v>
      </c>
      <c r="L72" s="6" t="n">
        <v>2025</v>
      </c>
      <c r="M72" s="6"/>
      <c r="N72" s="6" t="s">
        <v>14</v>
      </c>
      <c r="O72" s="8"/>
      <c r="P72" s="8"/>
      <c r="Q72" s="6" t="s">
        <v>400</v>
      </c>
      <c r="R72" s="6" t="n">
        <v>2729</v>
      </c>
      <c r="S72" s="6"/>
      <c r="T72" s="6"/>
      <c r="U72" s="6"/>
      <c r="V72" s="6" t="s">
        <v>65</v>
      </c>
      <c r="W72" s="8"/>
    </row>
    <row r="73" customFormat="false" ht="15" hidden="false" customHeight="false" outlineLevel="0" collapsed="false">
      <c r="A73" s="6" t="s">
        <v>401</v>
      </c>
      <c r="B73" s="6" t="s">
        <v>402</v>
      </c>
      <c r="C73" s="6"/>
      <c r="D73" s="6"/>
      <c r="E73" s="6" t="s">
        <v>394</v>
      </c>
      <c r="F73" s="6" t="s">
        <v>395</v>
      </c>
      <c r="G73" s="6" t="s">
        <v>396</v>
      </c>
      <c r="H73" s="6" t="s">
        <v>13</v>
      </c>
      <c r="I73" s="7" t="n">
        <v>55.684194</v>
      </c>
      <c r="J73" s="7" t="n">
        <v>12.4858</v>
      </c>
      <c r="K73" s="6" t="s">
        <v>62</v>
      </c>
      <c r="L73" s="6" t="n">
        <v>2025</v>
      </c>
      <c r="M73" s="6"/>
      <c r="N73" s="6" t="s">
        <v>14</v>
      </c>
      <c r="O73" s="8"/>
      <c r="P73" s="8"/>
      <c r="Q73" s="6" t="s">
        <v>403</v>
      </c>
      <c r="R73" s="6" t="n">
        <v>2733</v>
      </c>
      <c r="S73" s="6"/>
      <c r="T73" s="6"/>
      <c r="U73" s="6"/>
      <c r="V73" s="6" t="s">
        <v>65</v>
      </c>
      <c r="W73" s="8"/>
    </row>
    <row r="74" customFormat="false" ht="35.05" hidden="false" customHeight="false" outlineLevel="0" collapsed="false">
      <c r="A74" s="6" t="s">
        <v>404</v>
      </c>
      <c r="B74" s="6" t="s">
        <v>405</v>
      </c>
      <c r="C74" s="6" t="n">
        <v>1925</v>
      </c>
      <c r="D74" s="6" t="s">
        <v>78</v>
      </c>
      <c r="E74" s="6" t="s">
        <v>406</v>
      </c>
      <c r="F74" s="6" t="s">
        <v>407</v>
      </c>
      <c r="G74" s="6" t="s">
        <v>408</v>
      </c>
      <c r="H74" s="6" t="s">
        <v>13</v>
      </c>
      <c r="I74" s="7" t="n">
        <v>55.711969</v>
      </c>
      <c r="J74" s="7" t="n">
        <v>12.534398</v>
      </c>
      <c r="K74" s="6" t="s">
        <v>62</v>
      </c>
      <c r="L74" s="6" t="n">
        <v>2020</v>
      </c>
      <c r="M74" s="6"/>
      <c r="N74" s="6" t="s">
        <v>14</v>
      </c>
      <c r="O74" s="8"/>
      <c r="P74" s="8" t="s">
        <v>409</v>
      </c>
      <c r="Q74" s="6" t="s">
        <v>410</v>
      </c>
      <c r="R74" s="6" t="n">
        <v>949</v>
      </c>
      <c r="S74" s="6"/>
      <c r="T74" s="6"/>
      <c r="U74" s="6" t="s">
        <v>411</v>
      </c>
      <c r="V74" s="6" t="s">
        <v>65</v>
      </c>
      <c r="W74" s="8"/>
    </row>
    <row r="75" customFormat="false" ht="35.05" hidden="false" customHeight="false" outlineLevel="0" collapsed="false">
      <c r="A75" s="6" t="s">
        <v>412</v>
      </c>
      <c r="B75" s="6" t="s">
        <v>413</v>
      </c>
      <c r="C75" s="6" t="n">
        <v>1894</v>
      </c>
      <c r="D75" s="6" t="s">
        <v>78</v>
      </c>
      <c r="E75" s="6" t="s">
        <v>406</v>
      </c>
      <c r="F75" s="6" t="s">
        <v>407</v>
      </c>
      <c r="G75" s="6" t="s">
        <v>408</v>
      </c>
      <c r="H75" s="6" t="s">
        <v>13</v>
      </c>
      <c r="I75" s="7" t="n">
        <v>55.712009</v>
      </c>
      <c r="J75" s="7" t="n">
        <v>12.534378</v>
      </c>
      <c r="K75" s="6" t="s">
        <v>62</v>
      </c>
      <c r="L75" s="6" t="n">
        <v>2020</v>
      </c>
      <c r="M75" s="6"/>
      <c r="N75" s="6" t="s">
        <v>14</v>
      </c>
      <c r="O75" s="8"/>
      <c r="P75" s="8" t="s">
        <v>414</v>
      </c>
      <c r="Q75" s="6" t="s">
        <v>415</v>
      </c>
      <c r="R75" s="6" t="n">
        <v>953</v>
      </c>
      <c r="S75" s="6"/>
      <c r="T75" s="6"/>
      <c r="U75" s="6" t="s">
        <v>416</v>
      </c>
      <c r="V75" s="6" t="s">
        <v>65</v>
      </c>
      <c r="W75" s="8"/>
    </row>
    <row r="76" customFormat="false" ht="35.05" hidden="false" customHeight="false" outlineLevel="0" collapsed="false">
      <c r="A76" s="6" t="s">
        <v>417</v>
      </c>
      <c r="B76" s="6" t="s">
        <v>418</v>
      </c>
      <c r="C76" s="6" t="n">
        <v>1896</v>
      </c>
      <c r="D76" s="6" t="s">
        <v>147</v>
      </c>
      <c r="E76" s="6" t="s">
        <v>406</v>
      </c>
      <c r="F76" s="6" t="s">
        <v>407</v>
      </c>
      <c r="G76" s="6" t="s">
        <v>408</v>
      </c>
      <c r="H76" s="6" t="s">
        <v>13</v>
      </c>
      <c r="I76" s="7" t="n">
        <v>55.711929</v>
      </c>
      <c r="J76" s="7" t="n">
        <v>12.534408</v>
      </c>
      <c r="K76" s="6" t="s">
        <v>62</v>
      </c>
      <c r="L76" s="6" t="n">
        <v>2020</v>
      </c>
      <c r="M76" s="6"/>
      <c r="N76" s="6" t="s">
        <v>14</v>
      </c>
      <c r="O76" s="8"/>
      <c r="P76" s="8" t="s">
        <v>419</v>
      </c>
      <c r="Q76" s="6" t="s">
        <v>420</v>
      </c>
      <c r="R76" s="6" t="n">
        <v>948</v>
      </c>
      <c r="S76" s="6"/>
      <c r="T76" s="6"/>
      <c r="U76" s="6" t="s">
        <v>421</v>
      </c>
      <c r="V76" s="6" t="s">
        <v>65</v>
      </c>
      <c r="W76" s="8"/>
    </row>
    <row r="77" customFormat="false" ht="15" hidden="false" customHeight="false" outlineLevel="0" collapsed="false">
      <c r="A77" s="6" t="s">
        <v>422</v>
      </c>
      <c r="B77" s="6" t="s">
        <v>423</v>
      </c>
      <c r="C77" s="6"/>
      <c r="D77" s="6"/>
      <c r="E77" s="6" t="s">
        <v>424</v>
      </c>
      <c r="F77" s="6" t="s">
        <v>371</v>
      </c>
      <c r="G77" s="6" t="s">
        <v>372</v>
      </c>
      <c r="H77" s="6" t="s">
        <v>13</v>
      </c>
      <c r="I77" s="7" t="n">
        <v>55.707897</v>
      </c>
      <c r="J77" s="7" t="n">
        <v>12.574926</v>
      </c>
      <c r="K77" s="6" t="s">
        <v>62</v>
      </c>
      <c r="L77" s="6" t="n">
        <v>2025</v>
      </c>
      <c r="M77" s="6"/>
      <c r="N77" s="6" t="s">
        <v>14</v>
      </c>
      <c r="O77" s="8"/>
      <c r="P77" s="8"/>
      <c r="Q77" s="6" t="s">
        <v>425</v>
      </c>
      <c r="R77" s="6" t="n">
        <v>2821</v>
      </c>
      <c r="S77" s="6"/>
      <c r="T77" s="6"/>
      <c r="U77" s="6"/>
      <c r="V77" s="6" t="s">
        <v>65</v>
      </c>
      <c r="W77" s="8"/>
    </row>
    <row r="78" customFormat="false" ht="46.25" hidden="false" customHeight="false" outlineLevel="0" collapsed="false">
      <c r="A78" s="6" t="s">
        <v>426</v>
      </c>
      <c r="B78" s="6" t="s">
        <v>427</v>
      </c>
      <c r="C78" s="6" t="n">
        <v>1910</v>
      </c>
      <c r="D78" s="6" t="s">
        <v>78</v>
      </c>
      <c r="E78" s="6" t="s">
        <v>428</v>
      </c>
      <c r="F78" s="6" t="s">
        <v>429</v>
      </c>
      <c r="G78" s="6" t="s">
        <v>430</v>
      </c>
      <c r="H78" s="6" t="s">
        <v>13</v>
      </c>
      <c r="I78" s="7" t="n">
        <v>55.700703</v>
      </c>
      <c r="J78" s="7" t="n">
        <v>12.54016</v>
      </c>
      <c r="K78" s="6" t="s">
        <v>62</v>
      </c>
      <c r="L78" s="6" t="n">
        <v>2019</v>
      </c>
      <c r="M78" s="6"/>
      <c r="N78" s="6" t="s">
        <v>14</v>
      </c>
      <c r="O78" s="8"/>
      <c r="P78" s="8" t="s">
        <v>431</v>
      </c>
      <c r="Q78" s="6" t="s">
        <v>432</v>
      </c>
      <c r="R78" s="6" t="n">
        <v>234</v>
      </c>
      <c r="S78" s="6" t="s">
        <v>433</v>
      </c>
      <c r="T78" s="6"/>
      <c r="U78" s="6" t="s">
        <v>434</v>
      </c>
      <c r="V78" s="6" t="s">
        <v>65</v>
      </c>
      <c r="W78" s="8"/>
    </row>
    <row r="79" customFormat="false" ht="46.25" hidden="false" customHeight="false" outlineLevel="0" collapsed="false">
      <c r="A79" s="6" t="s">
        <v>435</v>
      </c>
      <c r="B79" s="6" t="s">
        <v>436</v>
      </c>
      <c r="C79" s="6" t="n">
        <v>1882</v>
      </c>
      <c r="D79" s="6" t="s">
        <v>78</v>
      </c>
      <c r="E79" s="6" t="s">
        <v>437</v>
      </c>
      <c r="F79" s="6" t="s">
        <v>438</v>
      </c>
      <c r="G79" s="6" t="s">
        <v>384</v>
      </c>
      <c r="H79" s="6" t="s">
        <v>13</v>
      </c>
      <c r="I79" s="7" t="n">
        <v>55.681237</v>
      </c>
      <c r="J79" s="7" t="n">
        <v>12.587398</v>
      </c>
      <c r="K79" s="6" t="s">
        <v>62</v>
      </c>
      <c r="L79" s="6" t="n">
        <v>2019</v>
      </c>
      <c r="M79" s="6"/>
      <c r="N79" s="6" t="s">
        <v>14</v>
      </c>
      <c r="O79" s="8"/>
      <c r="P79" s="8" t="s">
        <v>439</v>
      </c>
      <c r="Q79" s="6" t="s">
        <v>440</v>
      </c>
      <c r="R79" s="6" t="n">
        <v>243</v>
      </c>
      <c r="S79" s="6" t="s">
        <v>441</v>
      </c>
      <c r="T79" s="6" t="s">
        <v>442</v>
      </c>
      <c r="U79" s="6" t="s">
        <v>443</v>
      </c>
      <c r="V79" s="6" t="s">
        <v>65</v>
      </c>
      <c r="W79" s="8" t="s">
        <v>444</v>
      </c>
    </row>
    <row r="80" customFormat="false" ht="46.25" hidden="false" customHeight="false" outlineLevel="0" collapsed="false">
      <c r="A80" s="6" t="s">
        <v>445</v>
      </c>
      <c r="B80" s="6" t="s">
        <v>446</v>
      </c>
      <c r="C80" s="6" t="n">
        <v>1855</v>
      </c>
      <c r="D80" s="6" t="s">
        <v>78</v>
      </c>
      <c r="E80" s="6" t="s">
        <v>447</v>
      </c>
      <c r="F80" s="6" t="s">
        <v>438</v>
      </c>
      <c r="G80" s="6" t="s">
        <v>384</v>
      </c>
      <c r="H80" s="6" t="s">
        <v>13</v>
      </c>
      <c r="I80" s="7" t="n">
        <v>55.685084</v>
      </c>
      <c r="J80" s="7" t="n">
        <v>12.590531</v>
      </c>
      <c r="K80" s="6" t="s">
        <v>62</v>
      </c>
      <c r="L80" s="6" t="n">
        <v>2020</v>
      </c>
      <c r="M80" s="6"/>
      <c r="N80" s="6" t="s">
        <v>14</v>
      </c>
      <c r="O80" s="8"/>
      <c r="P80" s="8" t="s">
        <v>448</v>
      </c>
      <c r="Q80" s="6" t="s">
        <v>449</v>
      </c>
      <c r="R80" s="6" t="n">
        <v>532</v>
      </c>
      <c r="S80" s="6"/>
      <c r="T80" s="6" t="s">
        <v>450</v>
      </c>
      <c r="U80" s="6" t="s">
        <v>451</v>
      </c>
      <c r="V80" s="6" t="s">
        <v>65</v>
      </c>
      <c r="W80" s="8" t="s">
        <v>452</v>
      </c>
    </row>
    <row r="81" customFormat="false" ht="15" hidden="false" customHeight="false" outlineLevel="0" collapsed="false">
      <c r="A81" s="6" t="s">
        <v>453</v>
      </c>
      <c r="B81" s="6" t="s">
        <v>454</v>
      </c>
      <c r="C81" s="6"/>
      <c r="D81" s="6"/>
      <c r="E81" s="6" t="s">
        <v>455</v>
      </c>
      <c r="F81" s="6" t="s">
        <v>456</v>
      </c>
      <c r="G81" s="6" t="s">
        <v>384</v>
      </c>
      <c r="H81" s="6" t="s">
        <v>13</v>
      </c>
      <c r="I81" s="7" t="n">
        <v>55.684878</v>
      </c>
      <c r="J81" s="7" t="n">
        <v>12.583943</v>
      </c>
      <c r="K81" s="6" t="s">
        <v>62</v>
      </c>
      <c r="L81" s="6" t="n">
        <v>2023</v>
      </c>
      <c r="M81" s="6"/>
      <c r="N81" s="6" t="s">
        <v>14</v>
      </c>
      <c r="O81" s="8"/>
      <c r="P81" s="8"/>
      <c r="Q81" s="6" t="s">
        <v>457</v>
      </c>
      <c r="R81" s="6" t="n">
        <v>1707</v>
      </c>
      <c r="S81" s="6"/>
      <c r="T81" s="6"/>
      <c r="U81" s="6"/>
      <c r="V81" s="6" t="s">
        <v>65</v>
      </c>
      <c r="W81" s="8"/>
    </row>
    <row r="82" customFormat="false" ht="46.25" hidden="false" customHeight="false" outlineLevel="0" collapsed="false">
      <c r="A82" s="6" t="s">
        <v>458</v>
      </c>
      <c r="B82" s="6" t="s">
        <v>459</v>
      </c>
      <c r="C82" s="6" t="n">
        <v>1888</v>
      </c>
      <c r="D82" s="6" t="s">
        <v>147</v>
      </c>
      <c r="E82" s="6" t="s">
        <v>460</v>
      </c>
      <c r="F82" s="6" t="s">
        <v>461</v>
      </c>
      <c r="G82" s="6" t="s">
        <v>384</v>
      </c>
      <c r="H82" s="6" t="s">
        <v>13</v>
      </c>
      <c r="I82" s="7" t="n">
        <v>55.678953</v>
      </c>
      <c r="J82" s="7" t="n">
        <v>12.573036</v>
      </c>
      <c r="K82" s="6" t="s">
        <v>62</v>
      </c>
      <c r="L82" s="6" t="n">
        <v>2022</v>
      </c>
      <c r="M82" s="6"/>
      <c r="N82" s="6" t="s">
        <v>14</v>
      </c>
      <c r="O82" s="8"/>
      <c r="P82" s="8" t="s">
        <v>462</v>
      </c>
      <c r="Q82" s="6" t="s">
        <v>463</v>
      </c>
      <c r="R82" s="6" t="n">
        <v>868</v>
      </c>
      <c r="S82" s="6"/>
      <c r="T82" s="6" t="s">
        <v>464</v>
      </c>
      <c r="U82" s="6" t="s">
        <v>465</v>
      </c>
      <c r="V82" s="6" t="s">
        <v>65</v>
      </c>
      <c r="W82" s="8" t="s">
        <v>466</v>
      </c>
    </row>
    <row r="83" customFormat="false" ht="35.05" hidden="false" customHeight="false" outlineLevel="0" collapsed="false">
      <c r="A83" s="6" t="s">
        <v>467</v>
      </c>
      <c r="B83" s="6" t="s">
        <v>468</v>
      </c>
      <c r="C83" s="6" t="n">
        <v>1898</v>
      </c>
      <c r="D83" s="6" t="s">
        <v>147</v>
      </c>
      <c r="E83" s="6" t="s">
        <v>460</v>
      </c>
      <c r="F83" s="6" t="s">
        <v>461</v>
      </c>
      <c r="G83" s="6" t="s">
        <v>384</v>
      </c>
      <c r="H83" s="6" t="s">
        <v>13</v>
      </c>
      <c r="I83" s="7" t="n">
        <v>55.678933</v>
      </c>
      <c r="J83" s="7" t="n">
        <v>12.573126</v>
      </c>
      <c r="K83" s="6" t="s">
        <v>62</v>
      </c>
      <c r="L83" s="6" t="n">
        <v>2022</v>
      </c>
      <c r="M83" s="6"/>
      <c r="N83" s="6" t="s">
        <v>14</v>
      </c>
      <c r="O83" s="8"/>
      <c r="P83" s="8" t="s">
        <v>469</v>
      </c>
      <c r="Q83" s="6" t="s">
        <v>470</v>
      </c>
      <c r="R83" s="6" t="n">
        <v>869</v>
      </c>
      <c r="S83" s="6"/>
      <c r="T83" s="6" t="s">
        <v>464</v>
      </c>
      <c r="U83" s="6" t="s">
        <v>471</v>
      </c>
      <c r="V83" s="6" t="s">
        <v>65</v>
      </c>
      <c r="W83" s="8" t="s">
        <v>466</v>
      </c>
    </row>
    <row r="84" customFormat="false" ht="15" hidden="false" customHeight="false" outlineLevel="0" collapsed="false">
      <c r="A84" s="6" t="s">
        <v>472</v>
      </c>
      <c r="B84" s="6" t="s">
        <v>473</v>
      </c>
      <c r="C84" s="6"/>
      <c r="D84" s="6"/>
      <c r="E84" s="6" t="s">
        <v>474</v>
      </c>
      <c r="F84" s="6" t="s">
        <v>377</v>
      </c>
      <c r="G84" s="6" t="s">
        <v>378</v>
      </c>
      <c r="H84" s="6" t="s">
        <v>13</v>
      </c>
      <c r="I84" s="7" t="n">
        <v>55.665497</v>
      </c>
      <c r="J84" s="7" t="n">
        <v>12.580049</v>
      </c>
      <c r="K84" s="6" t="s">
        <v>62</v>
      </c>
      <c r="L84" s="6" t="n">
        <v>2026</v>
      </c>
      <c r="M84" s="6"/>
      <c r="N84" s="6" t="s">
        <v>14</v>
      </c>
      <c r="O84" s="8"/>
      <c r="P84" s="8"/>
      <c r="Q84" s="6" t="s">
        <v>475</v>
      </c>
      <c r="R84" s="6" t="n">
        <v>3193</v>
      </c>
      <c r="S84" s="6"/>
      <c r="T84" s="6"/>
      <c r="U84" s="6"/>
      <c r="V84" s="6" t="s">
        <v>65</v>
      </c>
      <c r="W84" s="8"/>
    </row>
    <row r="85" customFormat="false" ht="15" hidden="false" customHeight="false" outlineLevel="0" collapsed="false">
      <c r="A85" s="6" t="s">
        <v>476</v>
      </c>
      <c r="B85" s="6" t="s">
        <v>477</v>
      </c>
      <c r="C85" s="6"/>
      <c r="D85" s="6"/>
      <c r="E85" s="6" t="s">
        <v>474</v>
      </c>
      <c r="F85" s="6" t="s">
        <v>377</v>
      </c>
      <c r="G85" s="6" t="s">
        <v>378</v>
      </c>
      <c r="H85" s="6" t="s">
        <v>13</v>
      </c>
      <c r="I85" s="7" t="n">
        <v>55.665567</v>
      </c>
      <c r="J85" s="7" t="n">
        <v>12.580079</v>
      </c>
      <c r="K85" s="6" t="s">
        <v>62</v>
      </c>
      <c r="L85" s="6" t="n">
        <v>2026</v>
      </c>
      <c r="M85" s="6"/>
      <c r="N85" s="6" t="s">
        <v>14</v>
      </c>
      <c r="O85" s="8"/>
      <c r="P85" s="8"/>
      <c r="Q85" s="6" t="s">
        <v>478</v>
      </c>
      <c r="R85" s="6" t="n">
        <v>3198</v>
      </c>
      <c r="S85" s="6"/>
      <c r="T85" s="6"/>
      <c r="U85" s="6"/>
      <c r="V85" s="6" t="s">
        <v>65</v>
      </c>
      <c r="W85" s="8"/>
    </row>
    <row r="86" customFormat="false" ht="15" hidden="false" customHeight="false" outlineLevel="0" collapsed="false">
      <c r="A86" s="6" t="s">
        <v>479</v>
      </c>
      <c r="B86" s="6" t="s">
        <v>480</v>
      </c>
      <c r="C86" s="6"/>
      <c r="D86" s="6"/>
      <c r="E86" s="6" t="s">
        <v>474</v>
      </c>
      <c r="F86" s="6" t="s">
        <v>377</v>
      </c>
      <c r="G86" s="6" t="s">
        <v>378</v>
      </c>
      <c r="H86" s="6" t="s">
        <v>13</v>
      </c>
      <c r="I86" s="7" t="n">
        <v>55.665547</v>
      </c>
      <c r="J86" s="7" t="n">
        <v>12.580079</v>
      </c>
      <c r="K86" s="6" t="s">
        <v>62</v>
      </c>
      <c r="L86" s="6" t="n">
        <v>2026</v>
      </c>
      <c r="M86" s="6"/>
      <c r="N86" s="6" t="s">
        <v>14</v>
      </c>
      <c r="O86" s="8"/>
      <c r="P86" s="8"/>
      <c r="Q86" s="6" t="s">
        <v>481</v>
      </c>
      <c r="R86" s="6" t="n">
        <v>3199</v>
      </c>
      <c r="S86" s="6"/>
      <c r="T86" s="6"/>
      <c r="U86" s="6"/>
      <c r="V86" s="6" t="s">
        <v>65</v>
      </c>
      <c r="W86" s="8"/>
    </row>
    <row r="87" customFormat="false" ht="15" hidden="false" customHeight="false" outlineLevel="0" collapsed="false">
      <c r="A87" s="6" t="s">
        <v>482</v>
      </c>
      <c r="B87" s="6" t="s">
        <v>483</v>
      </c>
      <c r="C87" s="6"/>
      <c r="D87" s="6"/>
      <c r="E87" s="6" t="s">
        <v>474</v>
      </c>
      <c r="F87" s="6" t="s">
        <v>377</v>
      </c>
      <c r="G87" s="6" t="s">
        <v>378</v>
      </c>
      <c r="H87" s="6" t="s">
        <v>13</v>
      </c>
      <c r="I87" s="7" t="n">
        <v>55.665537</v>
      </c>
      <c r="J87" s="7" t="n">
        <v>12.580149</v>
      </c>
      <c r="K87" s="6" t="s">
        <v>62</v>
      </c>
      <c r="L87" s="6" t="n">
        <v>2026</v>
      </c>
      <c r="M87" s="6"/>
      <c r="N87" s="6" t="s">
        <v>14</v>
      </c>
      <c r="O87" s="8"/>
      <c r="P87" s="8"/>
      <c r="Q87" s="6" t="s">
        <v>484</v>
      </c>
      <c r="R87" s="6" t="n">
        <v>3194</v>
      </c>
      <c r="S87" s="6"/>
      <c r="T87" s="6"/>
      <c r="U87" s="6"/>
      <c r="V87" s="6" t="s">
        <v>65</v>
      </c>
      <c r="W87" s="8"/>
    </row>
    <row r="88" customFormat="false" ht="35.05" hidden="false" customHeight="false" outlineLevel="0" collapsed="false">
      <c r="A88" s="6" t="s">
        <v>485</v>
      </c>
      <c r="B88" s="6" t="s">
        <v>486</v>
      </c>
      <c r="C88" s="6" t="n">
        <v>1895</v>
      </c>
      <c r="D88" s="6" t="s">
        <v>78</v>
      </c>
      <c r="E88" s="6" t="s">
        <v>474</v>
      </c>
      <c r="F88" s="6" t="s">
        <v>377</v>
      </c>
      <c r="G88" s="6" t="s">
        <v>378</v>
      </c>
      <c r="H88" s="6" t="s">
        <v>13</v>
      </c>
      <c r="I88" s="7" t="n">
        <v>55.665597</v>
      </c>
      <c r="J88" s="7" t="n">
        <v>12.580109</v>
      </c>
      <c r="K88" s="6" t="s">
        <v>62</v>
      </c>
      <c r="L88" s="6" t="n">
        <v>2020</v>
      </c>
      <c r="M88" s="6"/>
      <c r="N88" s="6" t="s">
        <v>14</v>
      </c>
      <c r="O88" s="8"/>
      <c r="P88" s="8" t="s">
        <v>487</v>
      </c>
      <c r="Q88" s="6" t="s">
        <v>488</v>
      </c>
      <c r="R88" s="6" t="n">
        <v>535</v>
      </c>
      <c r="S88" s="6"/>
      <c r="T88" s="6"/>
      <c r="U88" s="6" t="s">
        <v>489</v>
      </c>
      <c r="V88" s="6" t="s">
        <v>65</v>
      </c>
      <c r="W88" s="8"/>
    </row>
    <row r="89" customFormat="false" ht="15" hidden="false" customHeight="false" outlineLevel="0" collapsed="false">
      <c r="A89" s="6" t="s">
        <v>490</v>
      </c>
      <c r="B89" s="6" t="s">
        <v>491</v>
      </c>
      <c r="C89" s="6"/>
      <c r="D89" s="6"/>
      <c r="E89" s="6" t="s">
        <v>474</v>
      </c>
      <c r="F89" s="6" t="s">
        <v>377</v>
      </c>
      <c r="G89" s="6" t="s">
        <v>378</v>
      </c>
      <c r="H89" s="6" t="s">
        <v>13</v>
      </c>
      <c r="I89" s="7" t="n">
        <v>55.665587</v>
      </c>
      <c r="J89" s="7" t="n">
        <v>12.580009</v>
      </c>
      <c r="K89" s="6" t="s">
        <v>62</v>
      </c>
      <c r="L89" s="6" t="n">
        <v>2026</v>
      </c>
      <c r="M89" s="6"/>
      <c r="N89" s="6" t="s">
        <v>14</v>
      </c>
      <c r="O89" s="8"/>
      <c r="P89" s="8"/>
      <c r="Q89" s="6" t="s">
        <v>492</v>
      </c>
      <c r="R89" s="6" t="n">
        <v>3197</v>
      </c>
      <c r="S89" s="6"/>
      <c r="T89" s="6"/>
      <c r="U89" s="6"/>
      <c r="V89" s="6" t="s">
        <v>65</v>
      </c>
      <c r="W89" s="8"/>
    </row>
    <row r="90" customFormat="false" ht="15" hidden="false" customHeight="false" outlineLevel="0" collapsed="false">
      <c r="A90" s="6" t="s">
        <v>493</v>
      </c>
      <c r="B90" s="6" t="s">
        <v>494</v>
      </c>
      <c r="C90" s="6"/>
      <c r="D90" s="6"/>
      <c r="E90" s="6" t="s">
        <v>495</v>
      </c>
      <c r="F90" s="6" t="s">
        <v>496</v>
      </c>
      <c r="G90" s="6" t="s">
        <v>384</v>
      </c>
      <c r="H90" s="6" t="s">
        <v>13</v>
      </c>
      <c r="I90" s="7" t="n">
        <v>55.683694</v>
      </c>
      <c r="J90" s="7" t="n">
        <v>12.569392</v>
      </c>
      <c r="K90" s="6" t="s">
        <v>62</v>
      </c>
      <c r="L90" s="6" t="n">
        <v>2025</v>
      </c>
      <c r="M90" s="6"/>
      <c r="N90" s="6" t="s">
        <v>14</v>
      </c>
      <c r="O90" s="8"/>
      <c r="P90" s="8"/>
      <c r="Q90" s="6" t="s">
        <v>497</v>
      </c>
      <c r="R90" s="6" t="n">
        <v>2796</v>
      </c>
      <c r="S90" s="6"/>
      <c r="T90" s="6"/>
      <c r="U90" s="6"/>
      <c r="V90" s="6" t="s">
        <v>65</v>
      </c>
      <c r="W90" s="8"/>
    </row>
    <row r="91" customFormat="false" ht="15" hidden="false" customHeight="false" outlineLevel="0" collapsed="false">
      <c r="A91" s="6" t="s">
        <v>498</v>
      </c>
      <c r="B91" s="6" t="s">
        <v>499</v>
      </c>
      <c r="C91" s="6"/>
      <c r="D91" s="6"/>
      <c r="E91" s="6" t="s">
        <v>495</v>
      </c>
      <c r="F91" s="6" t="s">
        <v>500</v>
      </c>
      <c r="G91" s="6" t="s">
        <v>384</v>
      </c>
      <c r="H91" s="6" t="s">
        <v>13</v>
      </c>
      <c r="I91" s="7" t="n">
        <v>55.683824</v>
      </c>
      <c r="J91" s="7" t="n">
        <v>12.569472</v>
      </c>
      <c r="K91" s="6" t="s">
        <v>62</v>
      </c>
      <c r="L91" s="6" t="n">
        <v>2025</v>
      </c>
      <c r="M91" s="6"/>
      <c r="N91" s="6" t="s">
        <v>14</v>
      </c>
      <c r="O91" s="8"/>
      <c r="P91" s="8"/>
      <c r="Q91" s="6" t="s">
        <v>501</v>
      </c>
      <c r="R91" s="6" t="n">
        <v>2767</v>
      </c>
      <c r="S91" s="6"/>
      <c r="T91" s="6"/>
      <c r="U91" s="6"/>
      <c r="V91" s="6" t="s">
        <v>65</v>
      </c>
      <c r="W91" s="8"/>
    </row>
    <row r="92" customFormat="false" ht="46.25" hidden="false" customHeight="false" outlineLevel="0" collapsed="false">
      <c r="A92" s="6" t="s">
        <v>502</v>
      </c>
      <c r="B92" s="6" t="s">
        <v>503</v>
      </c>
      <c r="C92" s="6" t="n">
        <v>1893</v>
      </c>
      <c r="D92" s="6" t="s">
        <v>147</v>
      </c>
      <c r="E92" s="6" t="s">
        <v>504</v>
      </c>
      <c r="F92" s="6" t="s">
        <v>407</v>
      </c>
      <c r="G92" s="6" t="s">
        <v>408</v>
      </c>
      <c r="H92" s="6" t="s">
        <v>13</v>
      </c>
      <c r="I92" s="7" t="n">
        <v>55.702259</v>
      </c>
      <c r="J92" s="7" t="n">
        <v>12.531661</v>
      </c>
      <c r="K92" s="6" t="s">
        <v>62</v>
      </c>
      <c r="L92" s="6" t="n">
        <v>2022</v>
      </c>
      <c r="M92" s="6"/>
      <c r="N92" s="6" t="s">
        <v>14</v>
      </c>
      <c r="O92" s="8"/>
      <c r="P92" s="8" t="s">
        <v>505</v>
      </c>
      <c r="Q92" s="6" t="s">
        <v>506</v>
      </c>
      <c r="R92" s="6" t="n">
        <v>903</v>
      </c>
      <c r="S92" s="6"/>
      <c r="T92" s="6"/>
      <c r="U92" s="6" t="s">
        <v>507</v>
      </c>
      <c r="V92" s="6" t="s">
        <v>65</v>
      </c>
      <c r="W92" s="8"/>
    </row>
    <row r="93" customFormat="false" ht="46.25" hidden="false" customHeight="false" outlineLevel="0" collapsed="false">
      <c r="A93" s="6" t="s">
        <v>508</v>
      </c>
      <c r="B93" s="6" t="s">
        <v>509</v>
      </c>
      <c r="C93" s="6" t="n">
        <v>1882</v>
      </c>
      <c r="D93" s="6" t="s">
        <v>147</v>
      </c>
      <c r="E93" s="6" t="s">
        <v>504</v>
      </c>
      <c r="F93" s="6" t="s">
        <v>407</v>
      </c>
      <c r="G93" s="6" t="s">
        <v>408</v>
      </c>
      <c r="H93" s="6" t="s">
        <v>13</v>
      </c>
      <c r="I93" s="7" t="n">
        <v>55.702299</v>
      </c>
      <c r="J93" s="7" t="n">
        <v>12.53166</v>
      </c>
      <c r="K93" s="6" t="s">
        <v>62</v>
      </c>
      <c r="L93" s="6" t="n">
        <v>2022</v>
      </c>
      <c r="M93" s="6"/>
      <c r="N93" s="6" t="s">
        <v>14</v>
      </c>
      <c r="O93" s="8"/>
      <c r="P93" s="8" t="s">
        <v>510</v>
      </c>
      <c r="Q93" s="6" t="s">
        <v>511</v>
      </c>
      <c r="R93" s="6" t="n">
        <v>902</v>
      </c>
      <c r="S93" s="6"/>
      <c r="T93" s="6"/>
      <c r="U93" s="6" t="s">
        <v>512</v>
      </c>
      <c r="V93" s="6" t="s">
        <v>65</v>
      </c>
      <c r="W93" s="8"/>
    </row>
    <row r="94" customFormat="false" ht="46.25" hidden="false" customHeight="false" outlineLevel="0" collapsed="false">
      <c r="A94" s="6" t="s">
        <v>513</v>
      </c>
      <c r="B94" s="6" t="s">
        <v>514</v>
      </c>
      <c r="C94" s="6" t="n">
        <v>1928</v>
      </c>
      <c r="D94" s="6" t="s">
        <v>147</v>
      </c>
      <c r="E94" s="6" t="s">
        <v>504</v>
      </c>
      <c r="F94" s="6" t="s">
        <v>407</v>
      </c>
      <c r="G94" s="6" t="s">
        <v>408</v>
      </c>
      <c r="H94" s="6" t="s">
        <v>13</v>
      </c>
      <c r="I94" s="7" t="n">
        <v>55.702429</v>
      </c>
      <c r="J94" s="7" t="n">
        <v>12.531761</v>
      </c>
      <c r="K94" s="6" t="s">
        <v>62</v>
      </c>
      <c r="L94" s="6" t="n">
        <v>2022</v>
      </c>
      <c r="M94" s="6"/>
      <c r="N94" s="6" t="s">
        <v>14</v>
      </c>
      <c r="O94" s="8"/>
      <c r="P94" s="8" t="s">
        <v>515</v>
      </c>
      <c r="Q94" s="6" t="s">
        <v>516</v>
      </c>
      <c r="R94" s="6" t="n">
        <v>904</v>
      </c>
      <c r="S94" s="6"/>
      <c r="T94" s="6"/>
      <c r="U94" s="6" t="s">
        <v>517</v>
      </c>
      <c r="V94" s="6" t="s">
        <v>65</v>
      </c>
      <c r="W94" s="8"/>
    </row>
    <row r="95" customFormat="false" ht="15" hidden="false" customHeight="false" outlineLevel="0" collapsed="false">
      <c r="A95" s="6" t="s">
        <v>518</v>
      </c>
      <c r="B95" s="6" t="s">
        <v>519</v>
      </c>
      <c r="C95" s="6"/>
      <c r="D95" s="6"/>
      <c r="E95" s="6" t="s">
        <v>520</v>
      </c>
      <c r="F95" s="6" t="s">
        <v>371</v>
      </c>
      <c r="G95" s="6" t="s">
        <v>372</v>
      </c>
      <c r="H95" s="6" t="s">
        <v>13</v>
      </c>
      <c r="I95" s="7" t="n">
        <v>55.702699</v>
      </c>
      <c r="J95" s="7" t="n">
        <v>12.578854</v>
      </c>
      <c r="K95" s="6" t="s">
        <v>62</v>
      </c>
      <c r="L95" s="6" t="n">
        <v>2024</v>
      </c>
      <c r="M95" s="6"/>
      <c r="N95" s="6" t="s">
        <v>14</v>
      </c>
      <c r="O95" s="8"/>
      <c r="P95" s="8"/>
      <c r="Q95" s="6" t="s">
        <v>521</v>
      </c>
      <c r="R95" s="6" t="n">
        <v>2369</v>
      </c>
      <c r="S95" s="6"/>
      <c r="T95" s="6"/>
      <c r="U95" s="6"/>
      <c r="V95" s="6" t="s">
        <v>65</v>
      </c>
      <c r="W95" s="8"/>
    </row>
    <row r="96" customFormat="false" ht="15" hidden="false" customHeight="false" outlineLevel="0" collapsed="false">
      <c r="A96" s="6" t="s">
        <v>522</v>
      </c>
      <c r="B96" s="6" t="s">
        <v>523</v>
      </c>
      <c r="C96" s="6"/>
      <c r="D96" s="6"/>
      <c r="E96" s="6" t="s">
        <v>520</v>
      </c>
      <c r="F96" s="6" t="s">
        <v>371</v>
      </c>
      <c r="G96" s="6" t="s">
        <v>372</v>
      </c>
      <c r="H96" s="6" t="s">
        <v>13</v>
      </c>
      <c r="I96" s="7" t="n">
        <v>55.702649</v>
      </c>
      <c r="J96" s="7" t="n">
        <v>12.578734</v>
      </c>
      <c r="K96" s="6" t="s">
        <v>62</v>
      </c>
      <c r="L96" s="6" t="n">
        <v>2024</v>
      </c>
      <c r="M96" s="6"/>
      <c r="N96" s="6" t="s">
        <v>14</v>
      </c>
      <c r="O96" s="8"/>
      <c r="P96" s="8"/>
      <c r="Q96" s="6" t="s">
        <v>524</v>
      </c>
      <c r="R96" s="6" t="n">
        <v>2370</v>
      </c>
      <c r="S96" s="6"/>
      <c r="T96" s="6"/>
      <c r="U96" s="6"/>
      <c r="V96" s="6" t="s">
        <v>65</v>
      </c>
      <c r="W96" s="8"/>
    </row>
    <row r="97" customFormat="false" ht="15" hidden="false" customHeight="false" outlineLevel="0" collapsed="false">
      <c r="A97" s="6" t="s">
        <v>525</v>
      </c>
      <c r="B97" s="6" t="s">
        <v>526</v>
      </c>
      <c r="C97" s="6"/>
      <c r="D97" s="6"/>
      <c r="E97" s="6" t="s">
        <v>527</v>
      </c>
      <c r="F97" s="6" t="s">
        <v>528</v>
      </c>
      <c r="G97" s="6" t="s">
        <v>529</v>
      </c>
      <c r="H97" s="6" t="s">
        <v>13</v>
      </c>
      <c r="I97" s="7" t="n">
        <v>55.650499</v>
      </c>
      <c r="J97" s="7" t="n">
        <v>12.525049</v>
      </c>
      <c r="K97" s="6" t="s">
        <v>62</v>
      </c>
      <c r="L97" s="6" t="n">
        <v>2026</v>
      </c>
      <c r="M97" s="6"/>
      <c r="N97" s="6" t="s">
        <v>14</v>
      </c>
      <c r="O97" s="8"/>
      <c r="P97" s="8"/>
      <c r="Q97" s="6" t="s">
        <v>530</v>
      </c>
      <c r="R97" s="6" t="n">
        <v>3276</v>
      </c>
      <c r="S97" s="6"/>
      <c r="T97" s="6"/>
      <c r="U97" s="6"/>
      <c r="V97" s="6" t="s">
        <v>65</v>
      </c>
      <c r="W97" s="8"/>
    </row>
    <row r="98" customFormat="false" ht="35.05" hidden="false" customHeight="false" outlineLevel="0" collapsed="false">
      <c r="A98" s="6" t="s">
        <v>531</v>
      </c>
      <c r="B98" s="6" t="s">
        <v>532</v>
      </c>
      <c r="C98" s="6" t="n">
        <v>1890</v>
      </c>
      <c r="D98" s="6" t="s">
        <v>78</v>
      </c>
      <c r="E98" s="6" t="s">
        <v>533</v>
      </c>
      <c r="F98" s="6" t="s">
        <v>429</v>
      </c>
      <c r="G98" s="6" t="s">
        <v>430</v>
      </c>
      <c r="H98" s="6" t="s">
        <v>13</v>
      </c>
      <c r="I98" s="7" t="n">
        <v>55.695198</v>
      </c>
      <c r="J98" s="7" t="n">
        <v>12.547125</v>
      </c>
      <c r="K98" s="6" t="s">
        <v>62</v>
      </c>
      <c r="L98" s="6" t="n">
        <v>2021</v>
      </c>
      <c r="M98" s="6"/>
      <c r="N98" s="6" t="s">
        <v>14</v>
      </c>
      <c r="O98" s="8"/>
      <c r="P98" s="8" t="s">
        <v>534</v>
      </c>
      <c r="Q98" s="6" t="s">
        <v>535</v>
      </c>
      <c r="R98" s="6" t="n">
        <v>548</v>
      </c>
      <c r="S98" s="6"/>
      <c r="T98" s="6"/>
      <c r="U98" s="6" t="s">
        <v>536</v>
      </c>
      <c r="V98" s="6" t="s">
        <v>65</v>
      </c>
      <c r="W98" s="8"/>
    </row>
    <row r="99" customFormat="false" ht="15" hidden="false" customHeight="false" outlineLevel="0" collapsed="false">
      <c r="A99" s="6" t="s">
        <v>537</v>
      </c>
      <c r="B99" s="6" t="s">
        <v>538</v>
      </c>
      <c r="C99" s="6"/>
      <c r="D99" s="6"/>
      <c r="E99" s="6" t="s">
        <v>533</v>
      </c>
      <c r="F99" s="6" t="s">
        <v>429</v>
      </c>
      <c r="G99" s="6" t="s">
        <v>430</v>
      </c>
      <c r="H99" s="6" t="s">
        <v>13</v>
      </c>
      <c r="I99" s="7" t="n">
        <v>55.695162</v>
      </c>
      <c r="J99" s="7" t="n">
        <v>12.54714</v>
      </c>
      <c r="K99" s="6" t="s">
        <v>62</v>
      </c>
      <c r="L99" s="6" t="n">
        <v>2025</v>
      </c>
      <c r="M99" s="6"/>
      <c r="N99" s="6" t="s">
        <v>14</v>
      </c>
      <c r="O99" s="8"/>
      <c r="P99" s="8"/>
      <c r="Q99" s="6" t="s">
        <v>539</v>
      </c>
      <c r="R99" s="6" t="n">
        <v>2773</v>
      </c>
      <c r="S99" s="6"/>
      <c r="T99" s="6"/>
      <c r="U99" s="6"/>
      <c r="V99" s="6" t="s">
        <v>65</v>
      </c>
      <c r="W99" s="8"/>
    </row>
    <row r="100" customFormat="false" ht="35.05" hidden="false" customHeight="false" outlineLevel="0" collapsed="false">
      <c r="A100" s="6" t="s">
        <v>540</v>
      </c>
      <c r="B100" s="6" t="s">
        <v>541</v>
      </c>
      <c r="C100" s="6" t="n">
        <v>1871</v>
      </c>
      <c r="D100" s="6" t="s">
        <v>78</v>
      </c>
      <c r="E100" s="6" t="s">
        <v>542</v>
      </c>
      <c r="F100" s="6" t="s">
        <v>377</v>
      </c>
      <c r="G100" s="6" t="s">
        <v>378</v>
      </c>
      <c r="H100" s="6" t="s">
        <v>13</v>
      </c>
      <c r="I100" s="7" t="n">
        <v>55.657119</v>
      </c>
      <c r="J100" s="7" t="n">
        <v>12.633526</v>
      </c>
      <c r="K100" s="6" t="s">
        <v>62</v>
      </c>
      <c r="L100" s="6" t="n">
        <v>2021</v>
      </c>
      <c r="M100" s="6"/>
      <c r="N100" s="6" t="s">
        <v>14</v>
      </c>
      <c r="O100" s="8" t="s">
        <v>543</v>
      </c>
      <c r="P100" s="8" t="s">
        <v>544</v>
      </c>
      <c r="Q100" s="6" t="s">
        <v>545</v>
      </c>
      <c r="R100" s="6" t="n">
        <v>543</v>
      </c>
      <c r="S100" s="6"/>
      <c r="T100" s="6" t="s">
        <v>546</v>
      </c>
      <c r="U100" s="6" t="s">
        <v>547</v>
      </c>
      <c r="V100" s="6" t="s">
        <v>65</v>
      </c>
      <c r="W100" s="8"/>
    </row>
    <row r="101" customFormat="false" ht="15" hidden="false" customHeight="false" outlineLevel="0" collapsed="false">
      <c r="A101" s="6" t="s">
        <v>548</v>
      </c>
      <c r="B101" s="6" t="s">
        <v>549</v>
      </c>
      <c r="C101" s="6"/>
      <c r="D101" s="6"/>
      <c r="E101" s="6" t="s">
        <v>550</v>
      </c>
      <c r="F101" s="6" t="s">
        <v>429</v>
      </c>
      <c r="G101" s="6" t="s">
        <v>430</v>
      </c>
      <c r="H101" s="6" t="s">
        <v>13</v>
      </c>
      <c r="I101" s="7" t="n">
        <v>55.686016</v>
      </c>
      <c r="J101" s="7" t="n">
        <v>12.549639</v>
      </c>
      <c r="K101" s="6" t="s">
        <v>62</v>
      </c>
      <c r="L101" s="6" t="n">
        <v>2023</v>
      </c>
      <c r="M101" s="6"/>
      <c r="N101" s="6" t="s">
        <v>14</v>
      </c>
      <c r="O101" s="8"/>
      <c r="P101" s="8"/>
      <c r="Q101" s="6" t="s">
        <v>551</v>
      </c>
      <c r="R101" s="6" t="n">
        <v>1704</v>
      </c>
      <c r="S101" s="6"/>
      <c r="T101" s="6"/>
      <c r="U101" s="6"/>
      <c r="V101" s="6" t="s">
        <v>65</v>
      </c>
      <c r="W101" s="8"/>
    </row>
    <row r="102" customFormat="false" ht="15" hidden="false" customHeight="false" outlineLevel="0" collapsed="false">
      <c r="A102" s="6" t="s">
        <v>552</v>
      </c>
      <c r="B102" s="6" t="s">
        <v>553</v>
      </c>
      <c r="C102" s="6"/>
      <c r="D102" s="6"/>
      <c r="E102" s="6" t="s">
        <v>550</v>
      </c>
      <c r="F102" s="6" t="s">
        <v>429</v>
      </c>
      <c r="G102" s="6" t="s">
        <v>430</v>
      </c>
      <c r="H102" s="6" t="s">
        <v>13</v>
      </c>
      <c r="I102" s="7" t="n">
        <v>55.686166</v>
      </c>
      <c r="J102" s="7" t="n">
        <v>12.549589</v>
      </c>
      <c r="K102" s="6" t="s">
        <v>62</v>
      </c>
      <c r="L102" s="6" t="n">
        <v>2023</v>
      </c>
      <c r="M102" s="6"/>
      <c r="N102" s="6" t="s">
        <v>14</v>
      </c>
      <c r="O102" s="8"/>
      <c r="P102" s="8"/>
      <c r="Q102" s="6" t="s">
        <v>554</v>
      </c>
      <c r="R102" s="6" t="n">
        <v>1705</v>
      </c>
      <c r="S102" s="6"/>
      <c r="T102" s="6"/>
      <c r="U102" s="6"/>
      <c r="V102" s="6" t="s">
        <v>65</v>
      </c>
      <c r="W102" s="8"/>
    </row>
    <row r="103" customFormat="false" ht="15" hidden="false" customHeight="false" outlineLevel="0" collapsed="false">
      <c r="A103" s="6" t="s">
        <v>555</v>
      </c>
      <c r="B103" s="6" t="s">
        <v>556</v>
      </c>
      <c r="C103" s="6"/>
      <c r="D103" s="6"/>
      <c r="E103" s="6" t="s">
        <v>557</v>
      </c>
      <c r="F103" s="6" t="s">
        <v>377</v>
      </c>
      <c r="G103" s="6" t="s">
        <v>378</v>
      </c>
      <c r="H103" s="6" t="s">
        <v>13</v>
      </c>
      <c r="I103" s="7" t="n">
        <v>55.645847</v>
      </c>
      <c r="J103" s="7" t="n">
        <v>12.626273</v>
      </c>
      <c r="K103" s="6" t="s">
        <v>62</v>
      </c>
      <c r="L103" s="6" t="n">
        <v>2025</v>
      </c>
      <c r="M103" s="6"/>
      <c r="N103" s="6" t="s">
        <v>14</v>
      </c>
      <c r="O103" s="8"/>
      <c r="P103" s="8"/>
      <c r="Q103" s="6" t="s">
        <v>558</v>
      </c>
      <c r="R103" s="6" t="n">
        <v>2739</v>
      </c>
      <c r="S103" s="6"/>
      <c r="T103" s="6"/>
      <c r="U103" s="6"/>
      <c r="V103" s="6" t="s">
        <v>65</v>
      </c>
      <c r="W103" s="8"/>
    </row>
    <row r="104" customFormat="false" ht="15" hidden="false" customHeight="false" outlineLevel="0" collapsed="false">
      <c r="A104" s="6" t="s">
        <v>559</v>
      </c>
      <c r="B104" s="6" t="s">
        <v>560</v>
      </c>
      <c r="C104" s="6"/>
      <c r="D104" s="6"/>
      <c r="E104" s="6" t="s">
        <v>561</v>
      </c>
      <c r="F104" s="6" t="s">
        <v>377</v>
      </c>
      <c r="G104" s="6" t="s">
        <v>378</v>
      </c>
      <c r="H104" s="6" t="s">
        <v>13</v>
      </c>
      <c r="I104" s="7" t="n">
        <v>55.653413</v>
      </c>
      <c r="J104" s="7" t="n">
        <v>12.619657</v>
      </c>
      <c r="K104" s="6" t="s">
        <v>62</v>
      </c>
      <c r="L104" s="6" t="n">
        <v>2025</v>
      </c>
      <c r="M104" s="6"/>
      <c r="N104" s="6" t="s">
        <v>14</v>
      </c>
      <c r="O104" s="8"/>
      <c r="P104" s="8"/>
      <c r="Q104" s="6" t="s">
        <v>562</v>
      </c>
      <c r="R104" s="6" t="n">
        <v>2823</v>
      </c>
      <c r="S104" s="6"/>
      <c r="T104" s="6"/>
      <c r="U104" s="6"/>
      <c r="V104" s="6" t="s">
        <v>65</v>
      </c>
      <c r="W104" s="8"/>
    </row>
    <row r="105" customFormat="false" ht="15" hidden="false" customHeight="false" outlineLevel="0" collapsed="false">
      <c r="A105" s="6" t="s">
        <v>563</v>
      </c>
      <c r="B105" s="6" t="s">
        <v>564</v>
      </c>
      <c r="C105" s="6"/>
      <c r="D105" s="6"/>
      <c r="E105" s="6" t="s">
        <v>561</v>
      </c>
      <c r="F105" s="6" t="s">
        <v>377</v>
      </c>
      <c r="G105" s="6" t="s">
        <v>378</v>
      </c>
      <c r="H105" s="6" t="s">
        <v>13</v>
      </c>
      <c r="I105" s="7" t="n">
        <v>55.653433</v>
      </c>
      <c r="J105" s="7" t="n">
        <v>12.619607</v>
      </c>
      <c r="K105" s="6" t="s">
        <v>62</v>
      </c>
      <c r="L105" s="6" t="n">
        <v>2025</v>
      </c>
      <c r="M105" s="6"/>
      <c r="N105" s="6" t="s">
        <v>14</v>
      </c>
      <c r="O105" s="8"/>
      <c r="P105" s="8"/>
      <c r="Q105" s="6" t="s">
        <v>565</v>
      </c>
      <c r="R105" s="6" t="n">
        <v>2822</v>
      </c>
      <c r="S105" s="6"/>
      <c r="T105" s="6"/>
      <c r="U105" s="6"/>
      <c r="V105" s="6" t="s">
        <v>65</v>
      </c>
      <c r="W105" s="8"/>
    </row>
    <row r="106" customFormat="false" ht="15" hidden="false" customHeight="false" outlineLevel="0" collapsed="false">
      <c r="A106" s="6" t="s">
        <v>566</v>
      </c>
      <c r="B106" s="6" t="s">
        <v>567</v>
      </c>
      <c r="C106" s="6"/>
      <c r="D106" s="6"/>
      <c r="E106" s="6" t="s">
        <v>568</v>
      </c>
      <c r="F106" s="6" t="s">
        <v>371</v>
      </c>
      <c r="G106" s="6" t="s">
        <v>372</v>
      </c>
      <c r="H106" s="6" t="s">
        <v>13</v>
      </c>
      <c r="I106" s="7" t="n">
        <v>55.703802</v>
      </c>
      <c r="J106" s="7" t="n">
        <v>12.579007</v>
      </c>
      <c r="K106" s="6" t="s">
        <v>62</v>
      </c>
      <c r="L106" s="6" t="n">
        <v>2026</v>
      </c>
      <c r="M106" s="6"/>
      <c r="N106" s="6" t="s">
        <v>14</v>
      </c>
      <c r="O106" s="8"/>
      <c r="P106" s="8"/>
      <c r="Q106" s="6" t="s">
        <v>569</v>
      </c>
      <c r="R106" s="6" t="n">
        <v>3256</v>
      </c>
      <c r="S106" s="6"/>
      <c r="T106" s="6"/>
      <c r="U106" s="6"/>
      <c r="V106" s="6" t="s">
        <v>65</v>
      </c>
      <c r="W106" s="8"/>
    </row>
    <row r="107" customFormat="false" ht="15" hidden="false" customHeight="false" outlineLevel="0" collapsed="false">
      <c r="A107" s="6" t="s">
        <v>570</v>
      </c>
      <c r="B107" s="6" t="s">
        <v>571</v>
      </c>
      <c r="C107" s="6"/>
      <c r="D107" s="6"/>
      <c r="E107" s="6" t="s">
        <v>568</v>
      </c>
      <c r="F107" s="6" t="s">
        <v>371</v>
      </c>
      <c r="G107" s="6" t="s">
        <v>372</v>
      </c>
      <c r="H107" s="6" t="s">
        <v>13</v>
      </c>
      <c r="I107" s="7" t="n">
        <v>55.703962</v>
      </c>
      <c r="J107" s="7" t="n">
        <v>12.579067</v>
      </c>
      <c r="K107" s="6" t="s">
        <v>62</v>
      </c>
      <c r="L107" s="6" t="n">
        <v>2026</v>
      </c>
      <c r="M107" s="6"/>
      <c r="N107" s="6" t="s">
        <v>14</v>
      </c>
      <c r="O107" s="8"/>
      <c r="P107" s="8"/>
      <c r="Q107" s="6" t="s">
        <v>572</v>
      </c>
      <c r="R107" s="6" t="n">
        <v>3254</v>
      </c>
      <c r="S107" s="6"/>
      <c r="T107" s="6"/>
      <c r="U107" s="6"/>
      <c r="V107" s="6" t="s">
        <v>65</v>
      </c>
      <c r="W107" s="8"/>
    </row>
    <row r="108" customFormat="false" ht="35.05" hidden="false" customHeight="false" outlineLevel="0" collapsed="false">
      <c r="A108" s="6" t="s">
        <v>573</v>
      </c>
      <c r="B108" s="6" t="s">
        <v>574</v>
      </c>
      <c r="C108" s="6" t="n">
        <v>1918</v>
      </c>
      <c r="D108" s="6" t="s">
        <v>78</v>
      </c>
      <c r="E108" s="6" t="s">
        <v>575</v>
      </c>
      <c r="F108" s="6" t="s">
        <v>576</v>
      </c>
      <c r="G108" s="6" t="s">
        <v>577</v>
      </c>
      <c r="H108" s="6" t="s">
        <v>13</v>
      </c>
      <c r="I108" s="7" t="n">
        <v>55.708391</v>
      </c>
      <c r="J108" s="7" t="n">
        <v>12.473948</v>
      </c>
      <c r="K108" s="6" t="s">
        <v>62</v>
      </c>
      <c r="L108" s="6" t="n">
        <v>2020</v>
      </c>
      <c r="M108" s="6"/>
      <c r="N108" s="6" t="s">
        <v>14</v>
      </c>
      <c r="O108" s="8"/>
      <c r="P108" s="8" t="s">
        <v>578</v>
      </c>
      <c r="Q108" s="6" t="s">
        <v>579</v>
      </c>
      <c r="R108" s="6" t="n">
        <v>526</v>
      </c>
      <c r="S108" s="6"/>
      <c r="T108" s="6"/>
      <c r="U108" s="6" t="s">
        <v>580</v>
      </c>
      <c r="V108" s="6" t="s">
        <v>65</v>
      </c>
      <c r="W108" s="8"/>
    </row>
    <row r="109" customFormat="false" ht="15" hidden="false" customHeight="false" outlineLevel="0" collapsed="false">
      <c r="A109" s="6" t="s">
        <v>581</v>
      </c>
      <c r="B109" s="6" t="s">
        <v>582</v>
      </c>
      <c r="C109" s="6"/>
      <c r="D109" s="6"/>
      <c r="E109" s="6" t="s">
        <v>583</v>
      </c>
      <c r="F109" s="6" t="s">
        <v>371</v>
      </c>
      <c r="G109" s="6" t="s">
        <v>372</v>
      </c>
      <c r="H109" s="6" t="s">
        <v>13</v>
      </c>
      <c r="I109" s="7" t="n">
        <v>55.70446</v>
      </c>
      <c r="J109" s="7" t="n">
        <v>12.582023</v>
      </c>
      <c r="K109" s="6" t="s">
        <v>62</v>
      </c>
      <c r="L109" s="6" t="n">
        <v>2024</v>
      </c>
      <c r="M109" s="6"/>
      <c r="N109" s="6" t="s">
        <v>14</v>
      </c>
      <c r="O109" s="8"/>
      <c r="P109" s="8"/>
      <c r="Q109" s="6" t="s">
        <v>584</v>
      </c>
      <c r="R109" s="6" t="n">
        <v>2407</v>
      </c>
      <c r="S109" s="6"/>
      <c r="T109" s="6"/>
      <c r="U109" s="6"/>
      <c r="V109" s="6" t="s">
        <v>65</v>
      </c>
      <c r="W109" s="8"/>
    </row>
    <row r="110" customFormat="false" ht="46.25" hidden="false" customHeight="false" outlineLevel="0" collapsed="false">
      <c r="A110" s="6" t="s">
        <v>585</v>
      </c>
      <c r="B110" s="6" t="s">
        <v>586</v>
      </c>
      <c r="C110" s="6" t="n">
        <v>1920</v>
      </c>
      <c r="D110" s="6" t="s">
        <v>78</v>
      </c>
      <c r="E110" s="6" t="s">
        <v>587</v>
      </c>
      <c r="F110" s="6" t="s">
        <v>588</v>
      </c>
      <c r="G110" s="6" t="s">
        <v>384</v>
      </c>
      <c r="H110" s="6" t="s">
        <v>13</v>
      </c>
      <c r="I110" s="7" t="n">
        <v>55.680815</v>
      </c>
      <c r="J110" s="7" t="n">
        <v>12.579736</v>
      </c>
      <c r="K110" s="6" t="s">
        <v>62</v>
      </c>
      <c r="L110" s="6" t="n">
        <v>2019</v>
      </c>
      <c r="M110" s="6"/>
      <c r="N110" s="6" t="s">
        <v>14</v>
      </c>
      <c r="O110" s="8"/>
      <c r="P110" s="8" t="s">
        <v>589</v>
      </c>
      <c r="Q110" s="6" t="s">
        <v>590</v>
      </c>
      <c r="R110" s="6" t="n">
        <v>244</v>
      </c>
      <c r="S110" s="6" t="s">
        <v>591</v>
      </c>
      <c r="T110" s="6" t="s">
        <v>592</v>
      </c>
      <c r="U110" s="6" t="s">
        <v>593</v>
      </c>
      <c r="V110" s="6" t="s">
        <v>65</v>
      </c>
      <c r="W110" s="8" t="s">
        <v>594</v>
      </c>
    </row>
    <row r="111" customFormat="false" ht="15" hidden="false" customHeight="false" outlineLevel="0" collapsed="false">
      <c r="A111" s="6" t="s">
        <v>595</v>
      </c>
      <c r="B111" s="6" t="s">
        <v>596</v>
      </c>
      <c r="C111" s="6"/>
      <c r="D111" s="6"/>
      <c r="E111" s="6" t="s">
        <v>587</v>
      </c>
      <c r="F111" s="6" t="s">
        <v>588</v>
      </c>
      <c r="G111" s="6" t="s">
        <v>384</v>
      </c>
      <c r="H111" s="6" t="s">
        <v>13</v>
      </c>
      <c r="I111" s="7" t="n">
        <v>55.680955</v>
      </c>
      <c r="J111" s="7" t="n">
        <v>12.579666</v>
      </c>
      <c r="K111" s="6" t="s">
        <v>62</v>
      </c>
      <c r="L111" s="6" t="n">
        <v>2025</v>
      </c>
      <c r="M111" s="6"/>
      <c r="N111" s="6" t="s">
        <v>14</v>
      </c>
      <c r="O111" s="8"/>
      <c r="P111" s="8"/>
      <c r="Q111" s="6" t="s">
        <v>597</v>
      </c>
      <c r="R111" s="6" t="n">
        <v>2766</v>
      </c>
      <c r="S111" s="6"/>
      <c r="T111" s="6" t="s">
        <v>592</v>
      </c>
      <c r="U111" s="6"/>
      <c r="V111" s="6" t="s">
        <v>65</v>
      </c>
      <c r="W111" s="8" t="s">
        <v>594</v>
      </c>
    </row>
    <row r="112" customFormat="false" ht="46.25" hidden="false" customHeight="false" outlineLevel="0" collapsed="false">
      <c r="A112" s="6" t="s">
        <v>598</v>
      </c>
      <c r="B112" s="6" t="s">
        <v>599</v>
      </c>
      <c r="C112" s="6" t="n">
        <v>1861</v>
      </c>
      <c r="D112" s="6" t="s">
        <v>78</v>
      </c>
      <c r="E112" s="6" t="s">
        <v>600</v>
      </c>
      <c r="F112" s="6" t="s">
        <v>601</v>
      </c>
      <c r="G112" s="6" t="s">
        <v>384</v>
      </c>
      <c r="H112" s="6" t="s">
        <v>13</v>
      </c>
      <c r="I112" s="7" t="n">
        <v>55.681384</v>
      </c>
      <c r="J112" s="7" t="n">
        <v>12.5732</v>
      </c>
      <c r="K112" s="6" t="s">
        <v>62</v>
      </c>
      <c r="L112" s="6" t="n">
        <v>2019</v>
      </c>
      <c r="M112" s="6"/>
      <c r="N112" s="6" t="s">
        <v>14</v>
      </c>
      <c r="O112" s="8"/>
      <c r="P112" s="8" t="s">
        <v>602</v>
      </c>
      <c r="Q112" s="6" t="s">
        <v>603</v>
      </c>
      <c r="R112" s="6" t="n">
        <v>926</v>
      </c>
      <c r="S112" s="6" t="s">
        <v>604</v>
      </c>
      <c r="T112" s="6" t="s">
        <v>605</v>
      </c>
      <c r="U112" s="6" t="s">
        <v>606</v>
      </c>
      <c r="V112" s="6" t="s">
        <v>65</v>
      </c>
      <c r="W112" s="8" t="s">
        <v>607</v>
      </c>
    </row>
    <row r="113" customFormat="false" ht="35.05" hidden="false" customHeight="false" outlineLevel="0" collapsed="false">
      <c r="A113" s="6" t="s">
        <v>608</v>
      </c>
      <c r="B113" s="6" t="s">
        <v>609</v>
      </c>
      <c r="C113" s="6" t="n">
        <v>1861</v>
      </c>
      <c r="D113" s="6" t="s">
        <v>147</v>
      </c>
      <c r="E113" s="6" t="s">
        <v>600</v>
      </c>
      <c r="F113" s="6" t="s">
        <v>601</v>
      </c>
      <c r="G113" s="6" t="s">
        <v>384</v>
      </c>
      <c r="H113" s="6" t="s">
        <v>13</v>
      </c>
      <c r="I113" s="7" t="n">
        <v>55.681424</v>
      </c>
      <c r="J113" s="7" t="n">
        <v>12.57319</v>
      </c>
      <c r="K113" s="6" t="s">
        <v>62</v>
      </c>
      <c r="L113" s="6" t="n">
        <v>2022</v>
      </c>
      <c r="M113" s="6"/>
      <c r="N113" s="6" t="s">
        <v>14</v>
      </c>
      <c r="O113" s="8"/>
      <c r="P113" s="8" t="s">
        <v>610</v>
      </c>
      <c r="Q113" s="6" t="s">
        <v>611</v>
      </c>
      <c r="R113" s="6" t="n">
        <v>576</v>
      </c>
      <c r="S113" s="6"/>
      <c r="T113" s="6" t="s">
        <v>605</v>
      </c>
      <c r="U113" s="6" t="s">
        <v>612</v>
      </c>
      <c r="V113" s="6" t="s">
        <v>99</v>
      </c>
      <c r="W113" s="8" t="s">
        <v>613</v>
      </c>
    </row>
    <row r="114" customFormat="false" ht="15" hidden="false" customHeight="false" outlineLevel="0" collapsed="false">
      <c r="A114" s="6" t="s">
        <v>614</v>
      </c>
      <c r="B114" s="6" t="s">
        <v>615</v>
      </c>
      <c r="C114" s="6"/>
      <c r="D114" s="6"/>
      <c r="E114" s="6" t="s">
        <v>600</v>
      </c>
      <c r="F114" s="6" t="s">
        <v>601</v>
      </c>
      <c r="G114" s="6" t="s">
        <v>384</v>
      </c>
      <c r="H114" s="6" t="s">
        <v>13</v>
      </c>
      <c r="I114" s="7" t="n">
        <v>55.681314</v>
      </c>
      <c r="J114" s="7" t="n">
        <v>12.57311</v>
      </c>
      <c r="K114" s="6" t="s">
        <v>62</v>
      </c>
      <c r="L114" s="6" t="n">
        <v>2023</v>
      </c>
      <c r="M114" s="6"/>
      <c r="N114" s="6" t="s">
        <v>14</v>
      </c>
      <c r="O114" s="8"/>
      <c r="P114" s="8"/>
      <c r="Q114" s="6" t="s">
        <v>616</v>
      </c>
      <c r="R114" s="6" t="n">
        <v>1675</v>
      </c>
      <c r="S114" s="6"/>
      <c r="T114" s="6" t="s">
        <v>605</v>
      </c>
      <c r="U114" s="6"/>
      <c r="V114" s="6" t="s">
        <v>65</v>
      </c>
      <c r="W114" s="8" t="s">
        <v>607</v>
      </c>
    </row>
    <row r="115" customFormat="false" ht="15" hidden="false" customHeight="false" outlineLevel="0" collapsed="false">
      <c r="A115" s="6" t="s">
        <v>617</v>
      </c>
      <c r="B115" s="6" t="s">
        <v>618</v>
      </c>
      <c r="C115" s="6"/>
      <c r="D115" s="6"/>
      <c r="E115" s="6" t="s">
        <v>600</v>
      </c>
      <c r="F115" s="6" t="s">
        <v>601</v>
      </c>
      <c r="G115" s="6" t="s">
        <v>384</v>
      </c>
      <c r="H115" s="6" t="s">
        <v>13</v>
      </c>
      <c r="I115" s="7" t="n">
        <v>55.681382</v>
      </c>
      <c r="J115" s="7" t="n">
        <v>12.573059</v>
      </c>
      <c r="K115" s="6" t="s">
        <v>62</v>
      </c>
      <c r="L115" s="6" t="n">
        <v>2025</v>
      </c>
      <c r="M115" s="6"/>
      <c r="N115" s="6" t="s">
        <v>14</v>
      </c>
      <c r="O115" s="8"/>
      <c r="P115" s="8"/>
      <c r="Q115" s="6" t="s">
        <v>619</v>
      </c>
      <c r="R115" s="6" t="n">
        <v>2756</v>
      </c>
      <c r="S115" s="6"/>
      <c r="T115" s="6" t="s">
        <v>605</v>
      </c>
      <c r="U115" s="6"/>
      <c r="V115" s="6" t="s">
        <v>65</v>
      </c>
      <c r="W115" s="8" t="s">
        <v>607</v>
      </c>
    </row>
    <row r="116" customFormat="false" ht="46.25" hidden="false" customHeight="false" outlineLevel="0" collapsed="false">
      <c r="A116" s="6" t="s">
        <v>620</v>
      </c>
      <c r="B116" s="6" t="s">
        <v>621</v>
      </c>
      <c r="C116" s="6" t="n">
        <v>1865</v>
      </c>
      <c r="D116" s="6" t="s">
        <v>78</v>
      </c>
      <c r="E116" s="6" t="s">
        <v>600</v>
      </c>
      <c r="F116" s="6" t="s">
        <v>601</v>
      </c>
      <c r="G116" s="6" t="s">
        <v>384</v>
      </c>
      <c r="H116" s="6" t="s">
        <v>13</v>
      </c>
      <c r="I116" s="7" t="n">
        <v>55.681283</v>
      </c>
      <c r="J116" s="7" t="n">
        <v>12.57316</v>
      </c>
      <c r="K116" s="6" t="s">
        <v>62</v>
      </c>
      <c r="L116" s="6" t="n">
        <v>2021</v>
      </c>
      <c r="M116" s="6"/>
      <c r="N116" s="6" t="s">
        <v>14</v>
      </c>
      <c r="O116" s="8"/>
      <c r="P116" s="8" t="s">
        <v>622</v>
      </c>
      <c r="Q116" s="6" t="s">
        <v>623</v>
      </c>
      <c r="R116" s="6" t="n">
        <v>919</v>
      </c>
      <c r="S116" s="6"/>
      <c r="T116" s="6" t="s">
        <v>605</v>
      </c>
      <c r="U116" s="6" t="s">
        <v>624</v>
      </c>
      <c r="V116" s="6" t="s">
        <v>65</v>
      </c>
      <c r="W116" s="8" t="s">
        <v>607</v>
      </c>
    </row>
    <row r="117" customFormat="false" ht="46.25" hidden="false" customHeight="false" outlineLevel="0" collapsed="false">
      <c r="A117" s="6" t="s">
        <v>625</v>
      </c>
      <c r="B117" s="6" t="s">
        <v>626</v>
      </c>
      <c r="C117" s="6" t="n">
        <v>1868</v>
      </c>
      <c r="D117" s="6" t="s">
        <v>78</v>
      </c>
      <c r="E117" s="6" t="s">
        <v>600</v>
      </c>
      <c r="F117" s="6" t="s">
        <v>601</v>
      </c>
      <c r="G117" s="6" t="s">
        <v>384</v>
      </c>
      <c r="H117" s="6" t="s">
        <v>13</v>
      </c>
      <c r="I117" s="7" t="n">
        <v>55.681413</v>
      </c>
      <c r="J117" s="7" t="n">
        <v>12.57321</v>
      </c>
      <c r="K117" s="6" t="s">
        <v>62</v>
      </c>
      <c r="L117" s="6" t="n">
        <v>2019</v>
      </c>
      <c r="M117" s="6"/>
      <c r="N117" s="6" t="s">
        <v>14</v>
      </c>
      <c r="O117" s="8"/>
      <c r="P117" s="8" t="s">
        <v>627</v>
      </c>
      <c r="Q117" s="6" t="s">
        <v>628</v>
      </c>
      <c r="R117" s="6" t="n">
        <v>927</v>
      </c>
      <c r="S117" s="6" t="s">
        <v>629</v>
      </c>
      <c r="T117" s="6" t="s">
        <v>605</v>
      </c>
      <c r="U117" s="6" t="s">
        <v>630</v>
      </c>
      <c r="V117" s="6" t="s">
        <v>65</v>
      </c>
      <c r="W117" s="8" t="s">
        <v>607</v>
      </c>
    </row>
    <row r="118" customFormat="false" ht="35.05" hidden="false" customHeight="false" outlineLevel="0" collapsed="false">
      <c r="A118" s="6" t="s">
        <v>631</v>
      </c>
      <c r="B118" s="6" t="s">
        <v>632</v>
      </c>
      <c r="C118" s="6" t="n">
        <v>1871</v>
      </c>
      <c r="D118" s="6" t="s">
        <v>78</v>
      </c>
      <c r="E118" s="6" t="s">
        <v>600</v>
      </c>
      <c r="F118" s="6" t="s">
        <v>601</v>
      </c>
      <c r="G118" s="6" t="s">
        <v>384</v>
      </c>
      <c r="H118" s="6" t="s">
        <v>13</v>
      </c>
      <c r="I118" s="7" t="n">
        <v>55.681434</v>
      </c>
      <c r="J118" s="7" t="n">
        <v>12.57308</v>
      </c>
      <c r="K118" s="6" t="s">
        <v>62</v>
      </c>
      <c r="L118" s="6" t="n">
        <v>2021</v>
      </c>
      <c r="M118" s="6"/>
      <c r="N118" s="6" t="s">
        <v>14</v>
      </c>
      <c r="O118" s="8"/>
      <c r="P118" s="8" t="s">
        <v>633</v>
      </c>
      <c r="Q118" s="6" t="s">
        <v>634</v>
      </c>
      <c r="R118" s="6" t="n">
        <v>920</v>
      </c>
      <c r="S118" s="6"/>
      <c r="T118" s="6" t="s">
        <v>605</v>
      </c>
      <c r="U118" s="6" t="s">
        <v>635</v>
      </c>
      <c r="V118" s="6" t="s">
        <v>65</v>
      </c>
      <c r="W118" s="8" t="s">
        <v>607</v>
      </c>
    </row>
    <row r="119" customFormat="false" ht="15" hidden="false" customHeight="false" outlineLevel="0" collapsed="false">
      <c r="A119" s="6" t="s">
        <v>636</v>
      </c>
      <c r="B119" s="6" t="s">
        <v>637</v>
      </c>
      <c r="C119" s="6"/>
      <c r="D119" s="6"/>
      <c r="E119" s="6" t="s">
        <v>600</v>
      </c>
      <c r="F119" s="6" t="s">
        <v>601</v>
      </c>
      <c r="G119" s="6" t="s">
        <v>384</v>
      </c>
      <c r="H119" s="6" t="s">
        <v>13</v>
      </c>
      <c r="I119" s="7" t="n">
        <v>55.681393</v>
      </c>
      <c r="J119" s="7" t="n">
        <v>12.5731</v>
      </c>
      <c r="K119" s="6" t="s">
        <v>62</v>
      </c>
      <c r="L119" s="6" t="n">
        <v>2023</v>
      </c>
      <c r="M119" s="6"/>
      <c r="N119" s="6" t="s">
        <v>14</v>
      </c>
      <c r="O119" s="8"/>
      <c r="P119" s="8"/>
      <c r="Q119" s="6" t="s">
        <v>638</v>
      </c>
      <c r="R119" s="6" t="n">
        <v>1678</v>
      </c>
      <c r="S119" s="6"/>
      <c r="T119" s="6" t="s">
        <v>605</v>
      </c>
      <c r="U119" s="6"/>
      <c r="V119" s="6" t="s">
        <v>65</v>
      </c>
      <c r="W119" s="8" t="s">
        <v>607</v>
      </c>
    </row>
    <row r="120" customFormat="false" ht="46.25" hidden="false" customHeight="false" outlineLevel="0" collapsed="false">
      <c r="A120" s="6" t="s">
        <v>639</v>
      </c>
      <c r="B120" s="6" t="s">
        <v>640</v>
      </c>
      <c r="C120" s="6" t="n">
        <v>1875</v>
      </c>
      <c r="D120" s="6" t="s">
        <v>78</v>
      </c>
      <c r="E120" s="6" t="s">
        <v>600</v>
      </c>
      <c r="F120" s="6" t="s">
        <v>601</v>
      </c>
      <c r="G120" s="6" t="s">
        <v>384</v>
      </c>
      <c r="H120" s="6" t="s">
        <v>13</v>
      </c>
      <c r="I120" s="7" t="n">
        <v>55.681314</v>
      </c>
      <c r="J120" s="7" t="n">
        <v>12.57305</v>
      </c>
      <c r="K120" s="6" t="s">
        <v>62</v>
      </c>
      <c r="L120" s="6" t="n">
        <v>2019</v>
      </c>
      <c r="M120" s="6"/>
      <c r="N120" s="6" t="s">
        <v>14</v>
      </c>
      <c r="O120" s="8"/>
      <c r="P120" s="8" t="s">
        <v>641</v>
      </c>
      <c r="Q120" s="6" t="s">
        <v>642</v>
      </c>
      <c r="R120" s="6" t="n">
        <v>925</v>
      </c>
      <c r="S120" s="6" t="s">
        <v>643</v>
      </c>
      <c r="T120" s="6" t="s">
        <v>605</v>
      </c>
      <c r="U120" s="6" t="s">
        <v>644</v>
      </c>
      <c r="V120" s="6" t="s">
        <v>65</v>
      </c>
      <c r="W120" s="8" t="s">
        <v>607</v>
      </c>
    </row>
    <row r="121" customFormat="false" ht="35.05" hidden="false" customHeight="false" outlineLevel="0" collapsed="false">
      <c r="A121" s="6" t="s">
        <v>645</v>
      </c>
      <c r="B121" s="6" t="s">
        <v>646</v>
      </c>
      <c r="C121" s="6" t="n">
        <v>1884</v>
      </c>
      <c r="D121" s="6" t="s">
        <v>78</v>
      </c>
      <c r="E121" s="6" t="s">
        <v>647</v>
      </c>
      <c r="F121" s="6" t="s">
        <v>648</v>
      </c>
      <c r="G121" s="6" t="s">
        <v>384</v>
      </c>
      <c r="H121" s="6" t="s">
        <v>13</v>
      </c>
      <c r="I121" s="7" t="n">
        <v>55.681571</v>
      </c>
      <c r="J121" s="7" t="n">
        <v>12.590516</v>
      </c>
      <c r="K121" s="6" t="s">
        <v>62</v>
      </c>
      <c r="L121" s="6" t="n">
        <v>2021</v>
      </c>
      <c r="M121" s="6"/>
      <c r="N121" s="6" t="s">
        <v>14</v>
      </c>
      <c r="O121" s="8"/>
      <c r="P121" s="8" t="s">
        <v>649</v>
      </c>
      <c r="Q121" s="6" t="s">
        <v>650</v>
      </c>
      <c r="R121" s="6" t="n">
        <v>544</v>
      </c>
      <c r="S121" s="6"/>
      <c r="T121" s="6"/>
      <c r="U121" s="6" t="s">
        <v>651</v>
      </c>
      <c r="V121" s="6" t="s">
        <v>65</v>
      </c>
      <c r="W121" s="8"/>
    </row>
    <row r="122" customFormat="false" ht="35.05" hidden="false" customHeight="false" outlineLevel="0" collapsed="false">
      <c r="A122" s="6" t="s">
        <v>652</v>
      </c>
      <c r="B122" s="6" t="s">
        <v>653</v>
      </c>
      <c r="C122" s="6" t="n">
        <v>1881</v>
      </c>
      <c r="D122" s="6" t="s">
        <v>78</v>
      </c>
      <c r="E122" s="6" t="s">
        <v>654</v>
      </c>
      <c r="F122" s="6" t="s">
        <v>371</v>
      </c>
      <c r="G122" s="6" t="s">
        <v>372</v>
      </c>
      <c r="H122" s="6" t="s">
        <v>13</v>
      </c>
      <c r="I122" s="7" t="n">
        <v>55.707765</v>
      </c>
      <c r="J122" s="7" t="n">
        <v>12.583223</v>
      </c>
      <c r="K122" s="6" t="s">
        <v>62</v>
      </c>
      <c r="L122" s="6" t="n">
        <v>2020</v>
      </c>
      <c r="M122" s="6"/>
      <c r="N122" s="6" t="s">
        <v>14</v>
      </c>
      <c r="O122" s="8"/>
      <c r="P122" s="8" t="s">
        <v>655</v>
      </c>
      <c r="Q122" s="6" t="s">
        <v>656</v>
      </c>
      <c r="R122" s="6" t="n">
        <v>528</v>
      </c>
      <c r="S122" s="6"/>
      <c r="T122" s="6"/>
      <c r="U122" s="6" t="s">
        <v>657</v>
      </c>
      <c r="V122" s="6" t="s">
        <v>99</v>
      </c>
      <c r="W122" s="8" t="s">
        <v>658</v>
      </c>
    </row>
    <row r="123" customFormat="false" ht="15" hidden="false" customHeight="false" outlineLevel="0" collapsed="false">
      <c r="A123" s="6" t="s">
        <v>659</v>
      </c>
      <c r="B123" s="6" t="s">
        <v>660</v>
      </c>
      <c r="C123" s="6"/>
      <c r="D123" s="6"/>
      <c r="E123" s="6" t="s">
        <v>654</v>
      </c>
      <c r="F123" s="6" t="s">
        <v>371</v>
      </c>
      <c r="G123" s="6" t="s">
        <v>372</v>
      </c>
      <c r="H123" s="6" t="s">
        <v>13</v>
      </c>
      <c r="I123" s="7" t="n">
        <v>55.707725</v>
      </c>
      <c r="J123" s="7" t="n">
        <v>12.583163</v>
      </c>
      <c r="K123" s="6" t="s">
        <v>62</v>
      </c>
      <c r="L123" s="6" t="n">
        <v>2024</v>
      </c>
      <c r="M123" s="6"/>
      <c r="N123" s="6" t="s">
        <v>14</v>
      </c>
      <c r="O123" s="8"/>
      <c r="P123" s="8"/>
      <c r="Q123" s="6" t="s">
        <v>661</v>
      </c>
      <c r="R123" s="6" t="n">
        <v>2411</v>
      </c>
      <c r="S123" s="6"/>
      <c r="T123" s="6"/>
      <c r="U123" s="6"/>
      <c r="V123" s="6" t="s">
        <v>65</v>
      </c>
      <c r="W123" s="8"/>
    </row>
    <row r="124" customFormat="false" ht="15" hidden="false" customHeight="false" outlineLevel="0" collapsed="false">
      <c r="A124" s="6" t="s">
        <v>662</v>
      </c>
      <c r="B124" s="6" t="s">
        <v>663</v>
      </c>
      <c r="C124" s="6"/>
      <c r="D124" s="6"/>
      <c r="E124" s="6" t="s">
        <v>664</v>
      </c>
      <c r="F124" s="6" t="s">
        <v>665</v>
      </c>
      <c r="G124" s="6" t="s">
        <v>384</v>
      </c>
      <c r="H124" s="6" t="s">
        <v>13</v>
      </c>
      <c r="I124" s="7" t="n">
        <v>55.676603</v>
      </c>
      <c r="J124" s="7" t="n">
        <v>12.575712</v>
      </c>
      <c r="K124" s="6" t="s">
        <v>62</v>
      </c>
      <c r="L124" s="6" t="n">
        <v>2026</v>
      </c>
      <c r="M124" s="6"/>
      <c r="N124" s="6" t="s">
        <v>14</v>
      </c>
      <c r="O124" s="8"/>
      <c r="P124" s="8"/>
      <c r="Q124" s="6" t="s">
        <v>666</v>
      </c>
      <c r="R124" s="6" t="n">
        <v>3209</v>
      </c>
      <c r="S124" s="6"/>
      <c r="T124" s="6"/>
      <c r="U124" s="6"/>
      <c r="V124" s="6" t="s">
        <v>65</v>
      </c>
      <c r="W124" s="8"/>
    </row>
    <row r="125" customFormat="false" ht="35.05" hidden="false" customHeight="false" outlineLevel="0" collapsed="false">
      <c r="A125" s="6" t="s">
        <v>667</v>
      </c>
      <c r="B125" s="6" t="s">
        <v>668</v>
      </c>
      <c r="C125" s="6" t="n">
        <v>1909</v>
      </c>
      <c r="D125" s="6" t="s">
        <v>147</v>
      </c>
      <c r="E125" s="6" t="s">
        <v>669</v>
      </c>
      <c r="F125" s="6" t="s">
        <v>670</v>
      </c>
      <c r="G125" s="6" t="s">
        <v>384</v>
      </c>
      <c r="H125" s="6" t="s">
        <v>13</v>
      </c>
      <c r="I125" s="7" t="n">
        <v>55.682048</v>
      </c>
      <c r="J125" s="7" t="n">
        <v>12.562357</v>
      </c>
      <c r="K125" s="6" t="s">
        <v>62</v>
      </c>
      <c r="L125" s="6" t="n">
        <v>2022</v>
      </c>
      <c r="M125" s="6"/>
      <c r="N125" s="6" t="s">
        <v>14</v>
      </c>
      <c r="O125" s="8"/>
      <c r="P125" s="8" t="s">
        <v>671</v>
      </c>
      <c r="Q125" s="6" t="s">
        <v>672</v>
      </c>
      <c r="R125" s="6" t="n">
        <v>870</v>
      </c>
      <c r="S125" s="6"/>
      <c r="T125" s="6" t="s">
        <v>673</v>
      </c>
      <c r="U125" s="6" t="s">
        <v>674</v>
      </c>
      <c r="V125" s="6" t="s">
        <v>65</v>
      </c>
      <c r="W125" s="8" t="s">
        <v>675</v>
      </c>
    </row>
    <row r="126" customFormat="false" ht="35.05" hidden="false" customHeight="false" outlineLevel="0" collapsed="false">
      <c r="A126" s="6" t="s">
        <v>676</v>
      </c>
      <c r="B126" s="6" t="s">
        <v>677</v>
      </c>
      <c r="C126" s="6" t="n">
        <v>1873</v>
      </c>
      <c r="D126" s="6" t="s">
        <v>147</v>
      </c>
      <c r="E126" s="6" t="s">
        <v>669</v>
      </c>
      <c r="F126" s="6" t="s">
        <v>670</v>
      </c>
      <c r="G126" s="6" t="s">
        <v>384</v>
      </c>
      <c r="H126" s="6" t="s">
        <v>13</v>
      </c>
      <c r="I126" s="7" t="n">
        <v>55.682078</v>
      </c>
      <c r="J126" s="7" t="n">
        <v>12.562417</v>
      </c>
      <c r="K126" s="6" t="s">
        <v>62</v>
      </c>
      <c r="L126" s="6" t="n">
        <v>2022</v>
      </c>
      <c r="M126" s="6"/>
      <c r="N126" s="6" t="s">
        <v>14</v>
      </c>
      <c r="O126" s="8"/>
      <c r="P126" s="8" t="s">
        <v>678</v>
      </c>
      <c r="Q126" s="6" t="s">
        <v>679</v>
      </c>
      <c r="R126" s="6" t="n">
        <v>987</v>
      </c>
      <c r="S126" s="6"/>
      <c r="T126" s="6" t="s">
        <v>673</v>
      </c>
      <c r="U126" s="6" t="s">
        <v>680</v>
      </c>
      <c r="V126" s="6" t="s">
        <v>65</v>
      </c>
      <c r="W126" s="8" t="s">
        <v>675</v>
      </c>
    </row>
    <row r="127" customFormat="false" ht="35.05" hidden="false" customHeight="false" outlineLevel="0" collapsed="false">
      <c r="A127" s="6" t="s">
        <v>681</v>
      </c>
      <c r="B127" s="6" t="s">
        <v>682</v>
      </c>
      <c r="C127" s="6" t="n">
        <v>1901</v>
      </c>
      <c r="D127" s="6" t="s">
        <v>147</v>
      </c>
      <c r="E127" s="6" t="s">
        <v>669</v>
      </c>
      <c r="F127" s="6" t="s">
        <v>670</v>
      </c>
      <c r="G127" s="6" t="s">
        <v>384</v>
      </c>
      <c r="H127" s="6" t="s">
        <v>13</v>
      </c>
      <c r="I127" s="7" t="n">
        <v>55.681968</v>
      </c>
      <c r="J127" s="7" t="n">
        <v>12.562447</v>
      </c>
      <c r="K127" s="6" t="s">
        <v>62</v>
      </c>
      <c r="L127" s="6" t="n">
        <v>2022</v>
      </c>
      <c r="M127" s="6"/>
      <c r="N127" s="6" t="s">
        <v>14</v>
      </c>
      <c r="O127" s="8"/>
      <c r="P127" s="8" t="s">
        <v>683</v>
      </c>
      <c r="Q127" s="6" t="s">
        <v>684</v>
      </c>
      <c r="R127" s="6" t="n">
        <v>871</v>
      </c>
      <c r="S127" s="6"/>
      <c r="T127" s="6" t="s">
        <v>673</v>
      </c>
      <c r="U127" s="6" t="s">
        <v>685</v>
      </c>
      <c r="V127" s="6" t="s">
        <v>65</v>
      </c>
      <c r="W127" s="8" t="s">
        <v>675</v>
      </c>
    </row>
    <row r="128" customFormat="false" ht="35.05" hidden="false" customHeight="false" outlineLevel="0" collapsed="false">
      <c r="A128" s="6" t="s">
        <v>686</v>
      </c>
      <c r="B128" s="6" t="s">
        <v>687</v>
      </c>
      <c r="C128" s="6" t="n">
        <v>1905</v>
      </c>
      <c r="D128" s="6" t="s">
        <v>147</v>
      </c>
      <c r="E128" s="6" t="s">
        <v>688</v>
      </c>
      <c r="F128" s="6" t="s">
        <v>670</v>
      </c>
      <c r="G128" s="6" t="s">
        <v>384</v>
      </c>
      <c r="H128" s="6" t="s">
        <v>13</v>
      </c>
      <c r="I128" s="7" t="n">
        <v>55.682933</v>
      </c>
      <c r="J128" s="7" t="n">
        <v>12.564847</v>
      </c>
      <c r="K128" s="6" t="s">
        <v>62</v>
      </c>
      <c r="L128" s="6" t="n">
        <v>2022</v>
      </c>
      <c r="M128" s="6"/>
      <c r="N128" s="6" t="s">
        <v>14</v>
      </c>
      <c r="O128" s="8"/>
      <c r="P128" s="8" t="s">
        <v>689</v>
      </c>
      <c r="Q128" s="6" t="s">
        <v>690</v>
      </c>
      <c r="R128" s="6" t="n">
        <v>877</v>
      </c>
      <c r="S128" s="6"/>
      <c r="T128" s="6" t="s">
        <v>691</v>
      </c>
      <c r="U128" s="6" t="s">
        <v>692</v>
      </c>
      <c r="V128" s="6" t="s">
        <v>65</v>
      </c>
      <c r="W128" s="8" t="s">
        <v>693</v>
      </c>
    </row>
    <row r="129" customFormat="false" ht="35.05" hidden="false" customHeight="false" outlineLevel="0" collapsed="false">
      <c r="A129" s="6" t="s">
        <v>694</v>
      </c>
      <c r="B129" s="6" t="s">
        <v>695</v>
      </c>
      <c r="C129" s="6" t="n">
        <v>1907</v>
      </c>
      <c r="D129" s="6" t="s">
        <v>147</v>
      </c>
      <c r="E129" s="6" t="s">
        <v>688</v>
      </c>
      <c r="F129" s="6" t="s">
        <v>670</v>
      </c>
      <c r="G129" s="6" t="s">
        <v>384</v>
      </c>
      <c r="H129" s="6" t="s">
        <v>13</v>
      </c>
      <c r="I129" s="7" t="n">
        <v>55.683053</v>
      </c>
      <c r="J129" s="7" t="n">
        <v>12.564717</v>
      </c>
      <c r="K129" s="6" t="s">
        <v>62</v>
      </c>
      <c r="L129" s="6" t="n">
        <v>2022</v>
      </c>
      <c r="M129" s="6"/>
      <c r="N129" s="6" t="s">
        <v>14</v>
      </c>
      <c r="O129" s="8"/>
      <c r="P129" s="8" t="s">
        <v>696</v>
      </c>
      <c r="Q129" s="6" t="s">
        <v>697</v>
      </c>
      <c r="R129" s="6" t="n">
        <v>882</v>
      </c>
      <c r="S129" s="6"/>
      <c r="T129" s="6" t="s">
        <v>691</v>
      </c>
      <c r="U129" s="6" t="s">
        <v>698</v>
      </c>
      <c r="V129" s="6" t="s">
        <v>65</v>
      </c>
      <c r="W129" s="8" t="s">
        <v>693</v>
      </c>
    </row>
    <row r="130" customFormat="false" ht="23.85" hidden="false" customHeight="false" outlineLevel="0" collapsed="false">
      <c r="A130" s="6" t="s">
        <v>699</v>
      </c>
      <c r="B130" s="6" t="s">
        <v>700</v>
      </c>
      <c r="C130" s="6" t="n">
        <v>1944</v>
      </c>
      <c r="D130" s="6" t="s">
        <v>147</v>
      </c>
      <c r="E130" s="6" t="s">
        <v>688</v>
      </c>
      <c r="F130" s="6" t="s">
        <v>670</v>
      </c>
      <c r="G130" s="6" t="s">
        <v>384</v>
      </c>
      <c r="H130" s="6" t="s">
        <v>13</v>
      </c>
      <c r="I130" s="7" t="n">
        <v>55.682903</v>
      </c>
      <c r="J130" s="7" t="n">
        <v>12.564827</v>
      </c>
      <c r="K130" s="6" t="s">
        <v>62</v>
      </c>
      <c r="L130" s="6" t="n">
        <v>2022</v>
      </c>
      <c r="M130" s="6"/>
      <c r="N130" s="6" t="s">
        <v>14</v>
      </c>
      <c r="O130" s="8"/>
      <c r="P130" s="8" t="s">
        <v>701</v>
      </c>
      <c r="Q130" s="6" t="s">
        <v>702</v>
      </c>
      <c r="R130" s="6" t="n">
        <v>875</v>
      </c>
      <c r="S130" s="6"/>
      <c r="T130" s="6" t="s">
        <v>691</v>
      </c>
      <c r="U130" s="6" t="s">
        <v>703</v>
      </c>
      <c r="V130" s="6" t="s">
        <v>65</v>
      </c>
      <c r="W130" s="8" t="s">
        <v>693</v>
      </c>
    </row>
    <row r="131" customFormat="false" ht="35.05" hidden="false" customHeight="false" outlineLevel="0" collapsed="false">
      <c r="A131" s="6" t="s">
        <v>704</v>
      </c>
      <c r="B131" s="6" t="s">
        <v>705</v>
      </c>
      <c r="C131" s="6" t="n">
        <v>1913</v>
      </c>
      <c r="D131" s="6" t="s">
        <v>147</v>
      </c>
      <c r="E131" s="6" t="s">
        <v>706</v>
      </c>
      <c r="F131" s="6" t="s">
        <v>371</v>
      </c>
      <c r="G131" s="6" t="s">
        <v>372</v>
      </c>
      <c r="H131" s="6" t="s">
        <v>13</v>
      </c>
      <c r="I131" s="7" t="n">
        <v>55.701677</v>
      </c>
      <c r="J131" s="7" t="n">
        <v>12.581717</v>
      </c>
      <c r="K131" s="6" t="s">
        <v>62</v>
      </c>
      <c r="L131" s="6" t="n">
        <v>2022</v>
      </c>
      <c r="M131" s="6"/>
      <c r="N131" s="6" t="s">
        <v>14</v>
      </c>
      <c r="O131" s="8"/>
      <c r="P131" s="8" t="s">
        <v>707</v>
      </c>
      <c r="Q131" s="6" t="s">
        <v>708</v>
      </c>
      <c r="R131" s="6" t="n">
        <v>888</v>
      </c>
      <c r="S131" s="6"/>
      <c r="T131" s="6"/>
      <c r="U131" s="6" t="s">
        <v>709</v>
      </c>
      <c r="V131" s="6" t="s">
        <v>65</v>
      </c>
      <c r="W131" s="8"/>
    </row>
    <row r="132" customFormat="false" ht="35.05" hidden="false" customHeight="false" outlineLevel="0" collapsed="false">
      <c r="A132" s="6" t="s">
        <v>710</v>
      </c>
      <c r="B132" s="6" t="s">
        <v>711</v>
      </c>
      <c r="C132" s="6" t="n">
        <v>1886</v>
      </c>
      <c r="D132" s="6" t="s">
        <v>147</v>
      </c>
      <c r="E132" s="6" t="s">
        <v>706</v>
      </c>
      <c r="F132" s="6" t="s">
        <v>371</v>
      </c>
      <c r="G132" s="6" t="s">
        <v>372</v>
      </c>
      <c r="H132" s="6" t="s">
        <v>13</v>
      </c>
      <c r="I132" s="7" t="n">
        <v>55.701647</v>
      </c>
      <c r="J132" s="7" t="n">
        <v>12.581717</v>
      </c>
      <c r="K132" s="6" t="s">
        <v>62</v>
      </c>
      <c r="L132" s="6" t="n">
        <v>2022</v>
      </c>
      <c r="M132" s="6"/>
      <c r="N132" s="6" t="s">
        <v>14</v>
      </c>
      <c r="O132" s="8"/>
      <c r="P132" s="8" t="s">
        <v>712</v>
      </c>
      <c r="Q132" s="6" t="s">
        <v>713</v>
      </c>
      <c r="R132" s="6" t="n">
        <v>887</v>
      </c>
      <c r="S132" s="6"/>
      <c r="T132" s="6"/>
      <c r="U132" s="6" t="s">
        <v>714</v>
      </c>
      <c r="V132" s="6" t="s">
        <v>65</v>
      </c>
      <c r="W132" s="8"/>
    </row>
    <row r="133" customFormat="false" ht="46.25" hidden="false" customHeight="false" outlineLevel="0" collapsed="false">
      <c r="A133" s="6" t="s">
        <v>715</v>
      </c>
      <c r="B133" s="6" t="s">
        <v>716</v>
      </c>
      <c r="C133" s="6" t="n">
        <v>1936</v>
      </c>
      <c r="D133" s="6" t="s">
        <v>147</v>
      </c>
      <c r="E133" s="6" t="s">
        <v>706</v>
      </c>
      <c r="F133" s="6" t="s">
        <v>371</v>
      </c>
      <c r="G133" s="6" t="s">
        <v>372</v>
      </c>
      <c r="H133" s="6" t="s">
        <v>13</v>
      </c>
      <c r="I133" s="7" t="n">
        <v>55.701667</v>
      </c>
      <c r="J133" s="7" t="n">
        <v>12.581817</v>
      </c>
      <c r="K133" s="6" t="s">
        <v>62</v>
      </c>
      <c r="L133" s="6" t="n">
        <v>2022</v>
      </c>
      <c r="M133" s="6"/>
      <c r="N133" s="6" t="s">
        <v>14</v>
      </c>
      <c r="O133" s="8"/>
      <c r="P133" s="8" t="s">
        <v>717</v>
      </c>
      <c r="Q133" s="6" t="s">
        <v>718</v>
      </c>
      <c r="R133" s="6" t="n">
        <v>895</v>
      </c>
      <c r="S133" s="6"/>
      <c r="T133" s="6"/>
      <c r="U133" s="6" t="s">
        <v>719</v>
      </c>
      <c r="V133" s="6" t="s">
        <v>65</v>
      </c>
      <c r="W133" s="8"/>
    </row>
    <row r="134" customFormat="false" ht="35.05" hidden="false" customHeight="false" outlineLevel="0" collapsed="false">
      <c r="A134" s="6" t="s">
        <v>720</v>
      </c>
      <c r="B134" s="6" t="s">
        <v>721</v>
      </c>
      <c r="C134" s="6" t="n">
        <v>1878</v>
      </c>
      <c r="D134" s="6" t="s">
        <v>147</v>
      </c>
      <c r="E134" s="6" t="s">
        <v>706</v>
      </c>
      <c r="F134" s="6" t="s">
        <v>371</v>
      </c>
      <c r="G134" s="6" t="s">
        <v>372</v>
      </c>
      <c r="H134" s="6" t="s">
        <v>13</v>
      </c>
      <c r="I134" s="7" t="n">
        <v>55.701617</v>
      </c>
      <c r="J134" s="7" t="n">
        <v>12.581787</v>
      </c>
      <c r="K134" s="6" t="s">
        <v>62</v>
      </c>
      <c r="L134" s="6" t="n">
        <v>2022</v>
      </c>
      <c r="M134" s="6"/>
      <c r="N134" s="6" t="s">
        <v>14</v>
      </c>
      <c r="O134" s="8"/>
      <c r="P134" s="8" t="s">
        <v>722</v>
      </c>
      <c r="Q134" s="6" t="s">
        <v>723</v>
      </c>
      <c r="R134" s="6" t="n">
        <v>886</v>
      </c>
      <c r="S134" s="6"/>
      <c r="T134" s="6"/>
      <c r="U134" s="6" t="s">
        <v>724</v>
      </c>
      <c r="V134" s="6" t="s">
        <v>65</v>
      </c>
      <c r="W134" s="8"/>
    </row>
    <row r="135" customFormat="false" ht="35.05" hidden="false" customHeight="false" outlineLevel="0" collapsed="false">
      <c r="A135" s="6" t="s">
        <v>725</v>
      </c>
      <c r="B135" s="6" t="s">
        <v>726</v>
      </c>
      <c r="C135" s="6" t="n">
        <v>1917</v>
      </c>
      <c r="D135" s="6" t="s">
        <v>147</v>
      </c>
      <c r="E135" s="6" t="s">
        <v>706</v>
      </c>
      <c r="F135" s="6" t="s">
        <v>371</v>
      </c>
      <c r="G135" s="6" t="s">
        <v>372</v>
      </c>
      <c r="H135" s="6" t="s">
        <v>13</v>
      </c>
      <c r="I135" s="7" t="n">
        <v>55.701577</v>
      </c>
      <c r="J135" s="7" t="n">
        <v>12.581767</v>
      </c>
      <c r="K135" s="6" t="s">
        <v>62</v>
      </c>
      <c r="L135" s="6" t="n">
        <v>2022</v>
      </c>
      <c r="M135" s="6"/>
      <c r="N135" s="6" t="s">
        <v>14</v>
      </c>
      <c r="O135" s="8"/>
      <c r="P135" s="8" t="s">
        <v>727</v>
      </c>
      <c r="Q135" s="6" t="s">
        <v>728</v>
      </c>
      <c r="R135" s="6" t="n">
        <v>894</v>
      </c>
      <c r="S135" s="6"/>
      <c r="T135" s="6"/>
      <c r="U135" s="6" t="s">
        <v>729</v>
      </c>
      <c r="V135" s="6" t="s">
        <v>65</v>
      </c>
      <c r="W135" s="8"/>
    </row>
    <row r="136" customFormat="false" ht="35.05" hidden="false" customHeight="false" outlineLevel="0" collapsed="false">
      <c r="A136" s="6" t="s">
        <v>730</v>
      </c>
      <c r="B136" s="6" t="s">
        <v>731</v>
      </c>
      <c r="C136" s="6" t="n">
        <v>1912</v>
      </c>
      <c r="D136" s="6" t="s">
        <v>147</v>
      </c>
      <c r="E136" s="6" t="s">
        <v>706</v>
      </c>
      <c r="F136" s="6" t="s">
        <v>371</v>
      </c>
      <c r="G136" s="6" t="s">
        <v>372</v>
      </c>
      <c r="H136" s="6" t="s">
        <v>13</v>
      </c>
      <c r="I136" s="7" t="n">
        <v>55.701557</v>
      </c>
      <c r="J136" s="7" t="n">
        <v>12.581747</v>
      </c>
      <c r="K136" s="6" t="s">
        <v>62</v>
      </c>
      <c r="L136" s="6" t="n">
        <v>2022</v>
      </c>
      <c r="M136" s="6"/>
      <c r="N136" s="6" t="s">
        <v>14</v>
      </c>
      <c r="O136" s="8"/>
      <c r="P136" s="8" t="s">
        <v>732</v>
      </c>
      <c r="Q136" s="6" t="s">
        <v>733</v>
      </c>
      <c r="R136" s="6" t="n">
        <v>892</v>
      </c>
      <c r="S136" s="6"/>
      <c r="T136" s="6"/>
      <c r="U136" s="6" t="s">
        <v>734</v>
      </c>
      <c r="V136" s="6" t="s">
        <v>65</v>
      </c>
      <c r="W136" s="8"/>
    </row>
    <row r="137" customFormat="false" ht="15" hidden="false" customHeight="false" outlineLevel="0" collapsed="false">
      <c r="A137" s="6" t="s">
        <v>735</v>
      </c>
      <c r="B137" s="6" t="s">
        <v>736</v>
      </c>
      <c r="C137" s="6"/>
      <c r="D137" s="6"/>
      <c r="E137" s="6" t="s">
        <v>737</v>
      </c>
      <c r="F137" s="6" t="s">
        <v>738</v>
      </c>
      <c r="G137" s="6" t="s">
        <v>384</v>
      </c>
      <c r="H137" s="6" t="s">
        <v>13</v>
      </c>
      <c r="I137" s="7" t="n">
        <v>55.673833</v>
      </c>
      <c r="J137" s="7" t="n">
        <v>12.576536</v>
      </c>
      <c r="K137" s="6" t="s">
        <v>62</v>
      </c>
      <c r="L137" s="6" t="n">
        <v>2025</v>
      </c>
      <c r="M137" s="6"/>
      <c r="N137" s="6" t="s">
        <v>14</v>
      </c>
      <c r="O137" s="8"/>
      <c r="P137" s="8"/>
      <c r="Q137" s="6" t="s">
        <v>739</v>
      </c>
      <c r="R137" s="6" t="n">
        <v>2759</v>
      </c>
      <c r="S137" s="6"/>
      <c r="T137" s="6"/>
      <c r="U137" s="6"/>
      <c r="V137" s="6" t="s">
        <v>65</v>
      </c>
      <c r="W137" s="8"/>
    </row>
    <row r="138" customFormat="false" ht="15" hidden="false" customHeight="false" outlineLevel="0" collapsed="false">
      <c r="A138" s="6" t="s">
        <v>740</v>
      </c>
      <c r="B138" s="6" t="s">
        <v>741</v>
      </c>
      <c r="C138" s="6"/>
      <c r="D138" s="6"/>
      <c r="E138" s="6" t="s">
        <v>737</v>
      </c>
      <c r="F138" s="6" t="s">
        <v>738</v>
      </c>
      <c r="G138" s="6" t="s">
        <v>384</v>
      </c>
      <c r="H138" s="6" t="s">
        <v>13</v>
      </c>
      <c r="I138" s="7" t="n">
        <v>55.674023</v>
      </c>
      <c r="J138" s="7" t="n">
        <v>12.576626</v>
      </c>
      <c r="K138" s="6" t="s">
        <v>62</v>
      </c>
      <c r="L138" s="6" t="n">
        <v>2025</v>
      </c>
      <c r="M138" s="6"/>
      <c r="N138" s="6" t="s">
        <v>14</v>
      </c>
      <c r="O138" s="8"/>
      <c r="P138" s="8"/>
      <c r="Q138" s="6" t="s">
        <v>742</v>
      </c>
      <c r="R138" s="6" t="n">
        <v>2758</v>
      </c>
      <c r="S138" s="6"/>
      <c r="T138" s="6"/>
      <c r="U138" s="6"/>
      <c r="V138" s="6" t="s">
        <v>65</v>
      </c>
      <c r="W138" s="8"/>
    </row>
    <row r="139" customFormat="false" ht="15" hidden="false" customHeight="false" outlineLevel="0" collapsed="false">
      <c r="A139" s="6" t="s">
        <v>743</v>
      </c>
      <c r="B139" s="6" t="s">
        <v>744</v>
      </c>
      <c r="C139" s="6"/>
      <c r="D139" s="6"/>
      <c r="E139" s="6" t="s">
        <v>737</v>
      </c>
      <c r="F139" s="6" t="s">
        <v>738</v>
      </c>
      <c r="G139" s="6" t="s">
        <v>384</v>
      </c>
      <c r="H139" s="6" t="s">
        <v>13</v>
      </c>
      <c r="I139" s="7" t="n">
        <v>55.673843</v>
      </c>
      <c r="J139" s="7" t="n">
        <v>12.576586</v>
      </c>
      <c r="K139" s="6" t="s">
        <v>62</v>
      </c>
      <c r="L139" s="6" t="n">
        <v>2025</v>
      </c>
      <c r="M139" s="6"/>
      <c r="N139" s="6" t="s">
        <v>14</v>
      </c>
      <c r="O139" s="8"/>
      <c r="P139" s="8"/>
      <c r="Q139" s="6" t="s">
        <v>745</v>
      </c>
      <c r="R139" s="6" t="n">
        <v>2789</v>
      </c>
      <c r="S139" s="6"/>
      <c r="T139" s="6"/>
      <c r="U139" s="6"/>
      <c r="V139" s="6" t="s">
        <v>65</v>
      </c>
      <c r="W139" s="8"/>
    </row>
    <row r="140" customFormat="false" ht="46.25" hidden="false" customHeight="false" outlineLevel="0" collapsed="false">
      <c r="A140" s="6" t="s">
        <v>746</v>
      </c>
      <c r="B140" s="6" t="s">
        <v>747</v>
      </c>
      <c r="C140" s="6" t="n">
        <v>1893</v>
      </c>
      <c r="D140" s="6" t="s">
        <v>78</v>
      </c>
      <c r="E140" s="6" t="s">
        <v>748</v>
      </c>
      <c r="F140" s="6" t="s">
        <v>749</v>
      </c>
      <c r="G140" s="6" t="s">
        <v>384</v>
      </c>
      <c r="H140" s="6" t="s">
        <v>13</v>
      </c>
      <c r="I140" s="7" t="n">
        <v>55.680622</v>
      </c>
      <c r="J140" s="7" t="n">
        <v>12.570902</v>
      </c>
      <c r="K140" s="6" t="s">
        <v>62</v>
      </c>
      <c r="L140" s="6" t="n">
        <v>2019</v>
      </c>
      <c r="M140" s="6"/>
      <c r="N140" s="6" t="s">
        <v>14</v>
      </c>
      <c r="O140" s="8"/>
      <c r="P140" s="8" t="s">
        <v>750</v>
      </c>
      <c r="Q140" s="6" t="s">
        <v>751</v>
      </c>
      <c r="R140" s="6" t="n">
        <v>929</v>
      </c>
      <c r="S140" s="6"/>
      <c r="T140" s="6" t="s">
        <v>752</v>
      </c>
      <c r="U140" s="6" t="s">
        <v>753</v>
      </c>
      <c r="V140" s="6" t="s">
        <v>65</v>
      </c>
      <c r="W140" s="8" t="s">
        <v>754</v>
      </c>
    </row>
    <row r="141" customFormat="false" ht="46.25" hidden="false" customHeight="false" outlineLevel="0" collapsed="false">
      <c r="A141" s="6" t="s">
        <v>755</v>
      </c>
      <c r="B141" s="6" t="s">
        <v>756</v>
      </c>
      <c r="C141" s="6" t="n">
        <v>1898</v>
      </c>
      <c r="D141" s="6" t="s">
        <v>78</v>
      </c>
      <c r="E141" s="6" t="s">
        <v>748</v>
      </c>
      <c r="F141" s="6" t="s">
        <v>749</v>
      </c>
      <c r="G141" s="6" t="s">
        <v>384</v>
      </c>
      <c r="H141" s="6" t="s">
        <v>13</v>
      </c>
      <c r="I141" s="7" t="n">
        <v>55.680772</v>
      </c>
      <c r="J141" s="7" t="n">
        <v>12.570962</v>
      </c>
      <c r="K141" s="6" t="s">
        <v>62</v>
      </c>
      <c r="L141" s="6" t="n">
        <v>2019</v>
      </c>
      <c r="M141" s="6"/>
      <c r="N141" s="6" t="s">
        <v>14</v>
      </c>
      <c r="O141" s="8"/>
      <c r="P141" s="8" t="s">
        <v>757</v>
      </c>
      <c r="Q141" s="6" t="s">
        <v>758</v>
      </c>
      <c r="R141" s="6" t="n">
        <v>928</v>
      </c>
      <c r="S141" s="6"/>
      <c r="T141" s="6" t="s">
        <v>752</v>
      </c>
      <c r="U141" s="6" t="s">
        <v>759</v>
      </c>
      <c r="V141" s="6" t="s">
        <v>65</v>
      </c>
      <c r="W141" s="8" t="s">
        <v>754</v>
      </c>
    </row>
    <row r="142" customFormat="false" ht="15" hidden="false" customHeight="false" outlineLevel="0" collapsed="false">
      <c r="A142" s="6" t="s">
        <v>760</v>
      </c>
      <c r="B142" s="6" t="s">
        <v>761</v>
      </c>
      <c r="C142" s="6"/>
      <c r="D142" s="6"/>
      <c r="E142" s="6" t="s">
        <v>762</v>
      </c>
      <c r="F142" s="6" t="s">
        <v>763</v>
      </c>
      <c r="G142" s="6" t="s">
        <v>384</v>
      </c>
      <c r="H142" s="6" t="s">
        <v>13</v>
      </c>
      <c r="I142" s="7" t="n">
        <v>55.689335</v>
      </c>
      <c r="J142" s="7" t="n">
        <v>12.571776</v>
      </c>
      <c r="K142" s="6" t="s">
        <v>62</v>
      </c>
      <c r="L142" s="6" t="n">
        <v>2023</v>
      </c>
      <c r="M142" s="6"/>
      <c r="N142" s="6" t="s">
        <v>14</v>
      </c>
      <c r="O142" s="8"/>
      <c r="P142" s="8"/>
      <c r="Q142" s="6" t="s">
        <v>764</v>
      </c>
      <c r="R142" s="6" t="n">
        <v>1696</v>
      </c>
      <c r="S142" s="6"/>
      <c r="T142" s="6"/>
      <c r="U142" s="6"/>
      <c r="V142" s="6" t="s">
        <v>65</v>
      </c>
      <c r="W142" s="8"/>
    </row>
    <row r="143" customFormat="false" ht="15" hidden="false" customHeight="false" outlineLevel="0" collapsed="false">
      <c r="A143" s="6" t="s">
        <v>765</v>
      </c>
      <c r="B143" s="6" t="s">
        <v>766</v>
      </c>
      <c r="C143" s="6"/>
      <c r="D143" s="6"/>
      <c r="E143" s="6" t="s">
        <v>762</v>
      </c>
      <c r="F143" s="6" t="s">
        <v>763</v>
      </c>
      <c r="G143" s="6" t="s">
        <v>384</v>
      </c>
      <c r="H143" s="6" t="s">
        <v>13</v>
      </c>
      <c r="I143" s="7" t="n">
        <v>55.689245</v>
      </c>
      <c r="J143" s="7" t="n">
        <v>12.571716</v>
      </c>
      <c r="K143" s="6" t="s">
        <v>62</v>
      </c>
      <c r="L143" s="6" t="n">
        <v>2023</v>
      </c>
      <c r="M143" s="6"/>
      <c r="N143" s="6" t="s">
        <v>14</v>
      </c>
      <c r="O143" s="8"/>
      <c r="P143" s="8"/>
      <c r="Q143" s="6" t="s">
        <v>767</v>
      </c>
      <c r="R143" s="6" t="n">
        <v>1694</v>
      </c>
      <c r="S143" s="6"/>
      <c r="T143" s="6"/>
      <c r="U143" s="6"/>
      <c r="V143" s="6" t="s">
        <v>65</v>
      </c>
      <c r="W143" s="8"/>
    </row>
    <row r="144" customFormat="false" ht="15" hidden="false" customHeight="false" outlineLevel="0" collapsed="false">
      <c r="A144" s="6" t="s">
        <v>768</v>
      </c>
      <c r="B144" s="6" t="s">
        <v>769</v>
      </c>
      <c r="C144" s="6"/>
      <c r="D144" s="6"/>
      <c r="E144" s="6" t="s">
        <v>762</v>
      </c>
      <c r="F144" s="6" t="s">
        <v>763</v>
      </c>
      <c r="G144" s="6" t="s">
        <v>384</v>
      </c>
      <c r="H144" s="6" t="s">
        <v>13</v>
      </c>
      <c r="I144" s="7" t="n">
        <v>55.689245</v>
      </c>
      <c r="J144" s="7" t="n">
        <v>12.571766</v>
      </c>
      <c r="K144" s="6" t="s">
        <v>62</v>
      </c>
      <c r="L144" s="6" t="n">
        <v>2023</v>
      </c>
      <c r="M144" s="6"/>
      <c r="N144" s="6" t="s">
        <v>14</v>
      </c>
      <c r="O144" s="8"/>
      <c r="P144" s="8"/>
      <c r="Q144" s="6" t="s">
        <v>770</v>
      </c>
      <c r="R144" s="6" t="n">
        <v>1698</v>
      </c>
      <c r="S144" s="6"/>
      <c r="T144" s="6"/>
      <c r="U144" s="6"/>
      <c r="V144" s="6" t="s">
        <v>65</v>
      </c>
      <c r="W144" s="8"/>
    </row>
    <row r="145" customFormat="false" ht="15" hidden="false" customHeight="false" outlineLevel="0" collapsed="false">
      <c r="A145" s="6" t="s">
        <v>771</v>
      </c>
      <c r="B145" s="6" t="s">
        <v>772</v>
      </c>
      <c r="C145" s="6"/>
      <c r="D145" s="6"/>
      <c r="E145" s="6" t="s">
        <v>762</v>
      </c>
      <c r="F145" s="6" t="s">
        <v>763</v>
      </c>
      <c r="G145" s="6" t="s">
        <v>384</v>
      </c>
      <c r="H145" s="6" t="s">
        <v>13</v>
      </c>
      <c r="I145" s="7" t="n">
        <v>55.689365</v>
      </c>
      <c r="J145" s="7" t="n">
        <v>12.571766</v>
      </c>
      <c r="K145" s="6" t="s">
        <v>62</v>
      </c>
      <c r="L145" s="6" t="n">
        <v>2023</v>
      </c>
      <c r="M145" s="6"/>
      <c r="N145" s="6" t="s">
        <v>14</v>
      </c>
      <c r="O145" s="8"/>
      <c r="P145" s="8"/>
      <c r="Q145" s="6" t="s">
        <v>773</v>
      </c>
      <c r="R145" s="6" t="n">
        <v>1692</v>
      </c>
      <c r="S145" s="6"/>
      <c r="T145" s="6"/>
      <c r="U145" s="6"/>
      <c r="V145" s="6" t="s">
        <v>65</v>
      </c>
      <c r="W145" s="8"/>
    </row>
    <row r="146" customFormat="false" ht="15" hidden="false" customHeight="false" outlineLevel="0" collapsed="false">
      <c r="A146" s="6" t="s">
        <v>774</v>
      </c>
      <c r="B146" s="6" t="s">
        <v>775</v>
      </c>
      <c r="C146" s="6"/>
      <c r="D146" s="6"/>
      <c r="E146" s="6" t="s">
        <v>776</v>
      </c>
      <c r="F146" s="6" t="s">
        <v>429</v>
      </c>
      <c r="G146" s="6" t="s">
        <v>430</v>
      </c>
      <c r="H146" s="6" t="s">
        <v>13</v>
      </c>
      <c r="I146" s="7" t="n">
        <v>55.684634</v>
      </c>
      <c r="J146" s="7" t="n">
        <v>12.55971</v>
      </c>
      <c r="K146" s="6" t="s">
        <v>62</v>
      </c>
      <c r="L146" s="6" t="n">
        <v>2025</v>
      </c>
      <c r="M146" s="6"/>
      <c r="N146" s="6" t="s">
        <v>14</v>
      </c>
      <c r="O146" s="8"/>
      <c r="P146" s="8"/>
      <c r="Q146" s="6" t="s">
        <v>777</v>
      </c>
      <c r="R146" s="6" t="n">
        <v>2787</v>
      </c>
      <c r="S146" s="6"/>
      <c r="T146" s="6"/>
      <c r="U146" s="6"/>
      <c r="V146" s="6" t="s">
        <v>65</v>
      </c>
      <c r="W146" s="8"/>
    </row>
    <row r="147" customFormat="false" ht="15" hidden="false" customHeight="false" outlineLevel="0" collapsed="false">
      <c r="A147" s="6" t="s">
        <v>778</v>
      </c>
      <c r="B147" s="6" t="s">
        <v>779</v>
      </c>
      <c r="C147" s="6"/>
      <c r="D147" s="6"/>
      <c r="E147" s="6" t="s">
        <v>776</v>
      </c>
      <c r="F147" s="6" t="s">
        <v>429</v>
      </c>
      <c r="G147" s="6" t="s">
        <v>430</v>
      </c>
      <c r="H147" s="6" t="s">
        <v>13</v>
      </c>
      <c r="I147" s="7" t="n">
        <v>55.684544</v>
      </c>
      <c r="J147" s="7" t="n">
        <v>12.55966</v>
      </c>
      <c r="K147" s="6" t="s">
        <v>62</v>
      </c>
      <c r="L147" s="6" t="n">
        <v>2025</v>
      </c>
      <c r="M147" s="6"/>
      <c r="N147" s="6" t="s">
        <v>14</v>
      </c>
      <c r="O147" s="8"/>
      <c r="P147" s="8"/>
      <c r="Q147" s="6" t="s">
        <v>780</v>
      </c>
      <c r="R147" s="6" t="n">
        <v>2788</v>
      </c>
      <c r="S147" s="6"/>
      <c r="T147" s="6"/>
      <c r="U147" s="6"/>
      <c r="V147" s="6" t="s">
        <v>65</v>
      </c>
      <c r="W147" s="8"/>
    </row>
    <row r="148" customFormat="false" ht="46.25" hidden="false" customHeight="false" outlineLevel="0" collapsed="false">
      <c r="A148" s="6" t="s">
        <v>781</v>
      </c>
      <c r="B148" s="6" t="s">
        <v>782</v>
      </c>
      <c r="C148" s="6" t="n">
        <v>1885</v>
      </c>
      <c r="D148" s="6" t="s">
        <v>78</v>
      </c>
      <c r="E148" s="6" t="s">
        <v>783</v>
      </c>
      <c r="F148" s="6" t="s">
        <v>429</v>
      </c>
      <c r="G148" s="6" t="s">
        <v>430</v>
      </c>
      <c r="H148" s="6" t="s">
        <v>13</v>
      </c>
      <c r="I148" s="7" t="n">
        <v>55.686008</v>
      </c>
      <c r="J148" s="7" t="n">
        <v>12.551309</v>
      </c>
      <c r="K148" s="6" t="s">
        <v>62</v>
      </c>
      <c r="L148" s="6" t="n">
        <v>2019</v>
      </c>
      <c r="M148" s="6"/>
      <c r="N148" s="6" t="s">
        <v>14</v>
      </c>
      <c r="O148" s="8"/>
      <c r="P148" s="8" t="s">
        <v>784</v>
      </c>
      <c r="Q148" s="6" t="s">
        <v>785</v>
      </c>
      <c r="R148" s="6" t="n">
        <v>233</v>
      </c>
      <c r="S148" s="6" t="s">
        <v>786</v>
      </c>
      <c r="T148" s="6"/>
      <c r="U148" s="6" t="s">
        <v>787</v>
      </c>
      <c r="V148" s="6" t="s">
        <v>65</v>
      </c>
      <c r="W148" s="8"/>
    </row>
    <row r="149" customFormat="false" ht="35.05" hidden="false" customHeight="false" outlineLevel="0" collapsed="false">
      <c r="A149" s="6" t="s">
        <v>788</v>
      </c>
      <c r="B149" s="6" t="s">
        <v>789</v>
      </c>
      <c r="C149" s="6" t="n">
        <v>1875</v>
      </c>
      <c r="D149" s="6" t="s">
        <v>78</v>
      </c>
      <c r="E149" s="6" t="s">
        <v>790</v>
      </c>
      <c r="F149" s="6" t="s">
        <v>429</v>
      </c>
      <c r="G149" s="6" t="s">
        <v>430</v>
      </c>
      <c r="H149" s="6" t="s">
        <v>13</v>
      </c>
      <c r="I149" s="7" t="n">
        <v>55.688437</v>
      </c>
      <c r="J149" s="7" t="n">
        <v>12.563151</v>
      </c>
      <c r="K149" s="6" t="s">
        <v>62</v>
      </c>
      <c r="L149" s="6" t="n">
        <v>2019</v>
      </c>
      <c r="M149" s="6"/>
      <c r="N149" s="6" t="s">
        <v>14</v>
      </c>
      <c r="O149" s="8" t="s">
        <v>791</v>
      </c>
      <c r="P149" s="8" t="s">
        <v>792</v>
      </c>
      <c r="Q149" s="6" t="s">
        <v>793</v>
      </c>
      <c r="R149" s="6" t="n">
        <v>238</v>
      </c>
      <c r="S149" s="6" t="s">
        <v>794</v>
      </c>
      <c r="T149" s="6"/>
      <c r="U149" s="6" t="s">
        <v>795</v>
      </c>
      <c r="V149" s="6" t="s">
        <v>65</v>
      </c>
      <c r="W149" s="8"/>
    </row>
    <row r="150" customFormat="false" ht="46.25" hidden="false" customHeight="false" outlineLevel="0" collapsed="false">
      <c r="A150" s="6" t="s">
        <v>796</v>
      </c>
      <c r="B150" s="6" t="s">
        <v>797</v>
      </c>
      <c r="C150" s="6" t="n">
        <v>1921</v>
      </c>
      <c r="D150" s="6" t="s">
        <v>78</v>
      </c>
      <c r="E150" s="6" t="s">
        <v>798</v>
      </c>
      <c r="F150" s="6" t="s">
        <v>371</v>
      </c>
      <c r="G150" s="6" t="s">
        <v>372</v>
      </c>
      <c r="H150" s="6" t="s">
        <v>13</v>
      </c>
      <c r="I150" s="7" t="n">
        <v>55.701902</v>
      </c>
      <c r="J150" s="7" t="n">
        <v>12.580542</v>
      </c>
      <c r="K150" s="6" t="s">
        <v>62</v>
      </c>
      <c r="L150" s="6" t="n">
        <v>2021</v>
      </c>
      <c r="M150" s="6"/>
      <c r="N150" s="6" t="s">
        <v>14</v>
      </c>
      <c r="O150" s="8"/>
      <c r="P150" s="8" t="s">
        <v>799</v>
      </c>
      <c r="Q150" s="6" t="s">
        <v>800</v>
      </c>
      <c r="R150" s="6" t="n">
        <v>547</v>
      </c>
      <c r="S150" s="6"/>
      <c r="T150" s="6"/>
      <c r="U150" s="6" t="s">
        <v>801</v>
      </c>
      <c r="V150" s="6" t="s">
        <v>65</v>
      </c>
      <c r="W150" s="8"/>
    </row>
    <row r="151" customFormat="false" ht="15" hidden="false" customHeight="false" outlineLevel="0" collapsed="false">
      <c r="A151" s="6" t="s">
        <v>802</v>
      </c>
      <c r="B151" s="6" t="s">
        <v>803</v>
      </c>
      <c r="C151" s="6"/>
      <c r="D151" s="6"/>
      <c r="E151" s="6" t="s">
        <v>804</v>
      </c>
      <c r="F151" s="6" t="s">
        <v>371</v>
      </c>
      <c r="G151" s="6" t="s">
        <v>372</v>
      </c>
      <c r="H151" s="6" t="s">
        <v>13</v>
      </c>
      <c r="I151" s="7" t="n">
        <v>55.698738</v>
      </c>
      <c r="J151" s="7" t="n">
        <v>12.57945</v>
      </c>
      <c r="K151" s="6" t="s">
        <v>62</v>
      </c>
      <c r="L151" s="6" t="n">
        <v>2023</v>
      </c>
      <c r="M151" s="6"/>
      <c r="N151" s="6" t="s">
        <v>14</v>
      </c>
      <c r="O151" s="8"/>
      <c r="P151" s="8"/>
      <c r="Q151" s="6" t="s">
        <v>805</v>
      </c>
      <c r="R151" s="6" t="n">
        <v>1679</v>
      </c>
      <c r="S151" s="6"/>
      <c r="T151" s="6"/>
      <c r="U151" s="6"/>
      <c r="V151" s="6" t="s">
        <v>65</v>
      </c>
      <c r="W151" s="8"/>
    </row>
    <row r="152" customFormat="false" ht="15" hidden="false" customHeight="false" outlineLevel="0" collapsed="false">
      <c r="A152" s="6" t="s">
        <v>806</v>
      </c>
      <c r="B152" s="6" t="s">
        <v>807</v>
      </c>
      <c r="C152" s="6"/>
      <c r="D152" s="6"/>
      <c r="E152" s="6" t="s">
        <v>804</v>
      </c>
      <c r="F152" s="6" t="s">
        <v>371</v>
      </c>
      <c r="G152" s="6" t="s">
        <v>372</v>
      </c>
      <c r="H152" s="6" t="s">
        <v>13</v>
      </c>
      <c r="I152" s="7" t="n">
        <v>55.698708</v>
      </c>
      <c r="J152" s="7" t="n">
        <v>12.57949</v>
      </c>
      <c r="K152" s="6" t="s">
        <v>62</v>
      </c>
      <c r="L152" s="6" t="n">
        <v>2023</v>
      </c>
      <c r="M152" s="6"/>
      <c r="N152" s="6" t="s">
        <v>14</v>
      </c>
      <c r="O152" s="8"/>
      <c r="P152" s="8"/>
      <c r="Q152" s="6" t="s">
        <v>808</v>
      </c>
      <c r="R152" s="6" t="n">
        <v>1688</v>
      </c>
      <c r="S152" s="6"/>
      <c r="T152" s="6"/>
      <c r="U152" s="6"/>
      <c r="V152" s="6" t="s">
        <v>65</v>
      </c>
      <c r="W152" s="8"/>
    </row>
    <row r="153" customFormat="false" ht="15" hidden="false" customHeight="false" outlineLevel="0" collapsed="false">
      <c r="A153" s="6" t="s">
        <v>809</v>
      </c>
      <c r="B153" s="6" t="s">
        <v>810</v>
      </c>
      <c r="C153" s="6"/>
      <c r="D153" s="6"/>
      <c r="E153" s="6" t="s">
        <v>804</v>
      </c>
      <c r="F153" s="6" t="s">
        <v>371</v>
      </c>
      <c r="G153" s="6" t="s">
        <v>372</v>
      </c>
      <c r="H153" s="6" t="s">
        <v>13</v>
      </c>
      <c r="I153" s="7" t="n">
        <v>55.698848</v>
      </c>
      <c r="J153" s="7" t="n">
        <v>12.57949</v>
      </c>
      <c r="K153" s="6" t="s">
        <v>62</v>
      </c>
      <c r="L153" s="6" t="n">
        <v>2023</v>
      </c>
      <c r="M153" s="6"/>
      <c r="N153" s="6" t="s">
        <v>14</v>
      </c>
      <c r="O153" s="8"/>
      <c r="P153" s="8"/>
      <c r="Q153" s="6" t="s">
        <v>811</v>
      </c>
      <c r="R153" s="6" t="n">
        <v>1691</v>
      </c>
      <c r="S153" s="6"/>
      <c r="T153" s="6"/>
      <c r="U153" s="6"/>
      <c r="V153" s="6" t="s">
        <v>65</v>
      </c>
      <c r="W153" s="8"/>
    </row>
    <row r="154" customFormat="false" ht="15" hidden="false" customHeight="false" outlineLevel="0" collapsed="false">
      <c r="A154" s="6" t="s">
        <v>812</v>
      </c>
      <c r="B154" s="6" t="s">
        <v>813</v>
      </c>
      <c r="C154" s="6"/>
      <c r="D154" s="6"/>
      <c r="E154" s="6" t="s">
        <v>804</v>
      </c>
      <c r="F154" s="6" t="s">
        <v>371</v>
      </c>
      <c r="G154" s="6" t="s">
        <v>372</v>
      </c>
      <c r="H154" s="6" t="s">
        <v>13</v>
      </c>
      <c r="I154" s="7" t="n">
        <v>55.698888</v>
      </c>
      <c r="J154" s="7" t="n">
        <v>12.57942</v>
      </c>
      <c r="K154" s="6" t="s">
        <v>62</v>
      </c>
      <c r="L154" s="6" t="n">
        <v>2023</v>
      </c>
      <c r="M154" s="6"/>
      <c r="N154" s="6" t="s">
        <v>14</v>
      </c>
      <c r="O154" s="8"/>
      <c r="P154" s="8"/>
      <c r="Q154" s="6" t="s">
        <v>814</v>
      </c>
      <c r="R154" s="6" t="n">
        <v>1686</v>
      </c>
      <c r="S154" s="6"/>
      <c r="T154" s="6"/>
      <c r="U154" s="6"/>
      <c r="V154" s="6" t="s">
        <v>65</v>
      </c>
      <c r="W154" s="8"/>
    </row>
    <row r="155" customFormat="false" ht="35.05" hidden="false" customHeight="false" outlineLevel="0" collapsed="false">
      <c r="A155" s="6" t="s">
        <v>815</v>
      </c>
      <c r="B155" s="6" t="s">
        <v>816</v>
      </c>
      <c r="C155" s="6" t="n">
        <v>1862</v>
      </c>
      <c r="D155" s="6" t="s">
        <v>78</v>
      </c>
      <c r="E155" s="6" t="s">
        <v>817</v>
      </c>
      <c r="F155" s="6" t="s">
        <v>818</v>
      </c>
      <c r="G155" s="6" t="s">
        <v>384</v>
      </c>
      <c r="H155" s="6" t="s">
        <v>13</v>
      </c>
      <c r="I155" s="7" t="n">
        <v>55.681805</v>
      </c>
      <c r="J155" s="7" t="n">
        <v>12.555655</v>
      </c>
      <c r="K155" s="6" t="s">
        <v>62</v>
      </c>
      <c r="L155" s="6" t="n">
        <v>2020</v>
      </c>
      <c r="M155" s="6"/>
      <c r="N155" s="6" t="s">
        <v>14</v>
      </c>
      <c r="O155" s="8"/>
      <c r="P155" s="8" t="s">
        <v>819</v>
      </c>
      <c r="Q155" s="6" t="s">
        <v>820</v>
      </c>
      <c r="R155" s="6" t="n">
        <v>529</v>
      </c>
      <c r="S155" s="6"/>
      <c r="T155" s="6"/>
      <c r="U155" s="6"/>
      <c r="V155" s="6" t="s">
        <v>65</v>
      </c>
      <c r="W155" s="8"/>
    </row>
    <row r="156" customFormat="false" ht="15" hidden="false" customHeight="false" outlineLevel="0" collapsed="false">
      <c r="A156" s="6" t="s">
        <v>821</v>
      </c>
      <c r="B156" s="6" t="s">
        <v>822</v>
      </c>
      <c r="C156" s="6"/>
      <c r="D156" s="6"/>
      <c r="E156" s="6" t="s">
        <v>823</v>
      </c>
      <c r="F156" s="6" t="s">
        <v>824</v>
      </c>
      <c r="G156" s="6" t="s">
        <v>384</v>
      </c>
      <c r="H156" s="6" t="s">
        <v>13</v>
      </c>
      <c r="I156" s="7" t="n">
        <v>55.68296</v>
      </c>
      <c r="J156" s="7" t="n">
        <v>12.574294</v>
      </c>
      <c r="K156" s="6" t="s">
        <v>62</v>
      </c>
      <c r="L156" s="6" t="n">
        <v>2025</v>
      </c>
      <c r="M156" s="6"/>
      <c r="N156" s="6" t="s">
        <v>14</v>
      </c>
      <c r="O156" s="8"/>
      <c r="P156" s="8"/>
      <c r="Q156" s="6" t="s">
        <v>825</v>
      </c>
      <c r="R156" s="6" t="n">
        <v>2757</v>
      </c>
      <c r="S156" s="6"/>
      <c r="T156" s="6"/>
      <c r="U156" s="6"/>
      <c r="V156" s="6" t="s">
        <v>65</v>
      </c>
      <c r="W156" s="8"/>
    </row>
    <row r="157" customFormat="false" ht="35.05" hidden="false" customHeight="false" outlineLevel="0" collapsed="false">
      <c r="A157" s="6" t="s">
        <v>826</v>
      </c>
      <c r="B157" s="6" t="s">
        <v>827</v>
      </c>
      <c r="C157" s="6" t="n">
        <v>1877</v>
      </c>
      <c r="D157" s="6" t="s">
        <v>147</v>
      </c>
      <c r="E157" s="6" t="s">
        <v>828</v>
      </c>
      <c r="F157" s="6" t="s">
        <v>829</v>
      </c>
      <c r="G157" s="6" t="s">
        <v>384</v>
      </c>
      <c r="H157" s="6" t="s">
        <v>13</v>
      </c>
      <c r="I157" s="7" t="n">
        <v>55.687009</v>
      </c>
      <c r="J157" s="7" t="n">
        <v>12.588691</v>
      </c>
      <c r="K157" s="6" t="s">
        <v>62</v>
      </c>
      <c r="L157" s="6" t="n">
        <v>2020</v>
      </c>
      <c r="M157" s="6"/>
      <c r="N157" s="6" t="s">
        <v>14</v>
      </c>
      <c r="O157" s="8"/>
      <c r="P157" s="8" t="s">
        <v>830</v>
      </c>
      <c r="Q157" s="6" t="s">
        <v>831</v>
      </c>
      <c r="R157" s="6" t="n">
        <v>939</v>
      </c>
      <c r="S157" s="6"/>
      <c r="T157" s="6" t="s">
        <v>832</v>
      </c>
      <c r="U157" s="6" t="s">
        <v>833</v>
      </c>
      <c r="V157" s="6" t="s">
        <v>65</v>
      </c>
      <c r="W157" s="8" t="s">
        <v>834</v>
      </c>
    </row>
    <row r="158" customFormat="false" ht="46.25" hidden="false" customHeight="false" outlineLevel="0" collapsed="false">
      <c r="A158" s="6" t="s">
        <v>835</v>
      </c>
      <c r="B158" s="6" t="s">
        <v>836</v>
      </c>
      <c r="C158" s="6" t="n">
        <v>1876</v>
      </c>
      <c r="D158" s="6" t="s">
        <v>147</v>
      </c>
      <c r="E158" s="6" t="s">
        <v>828</v>
      </c>
      <c r="F158" s="6" t="s">
        <v>829</v>
      </c>
      <c r="G158" s="6" t="s">
        <v>384</v>
      </c>
      <c r="H158" s="6" t="s">
        <v>13</v>
      </c>
      <c r="I158" s="7" t="n">
        <v>55.686909</v>
      </c>
      <c r="J158" s="7" t="n">
        <v>12.588771</v>
      </c>
      <c r="K158" s="6" t="s">
        <v>62</v>
      </c>
      <c r="L158" s="6" t="n">
        <v>2020</v>
      </c>
      <c r="M158" s="6"/>
      <c r="N158" s="6" t="s">
        <v>14</v>
      </c>
      <c r="O158" s="8"/>
      <c r="P158" s="8" t="s">
        <v>837</v>
      </c>
      <c r="Q158" s="6" t="s">
        <v>838</v>
      </c>
      <c r="R158" s="6" t="n">
        <v>938</v>
      </c>
      <c r="S158" s="6"/>
      <c r="T158" s="6" t="s">
        <v>832</v>
      </c>
      <c r="U158" s="6" t="s">
        <v>839</v>
      </c>
      <c r="V158" s="6" t="s">
        <v>65</v>
      </c>
      <c r="W158" s="8" t="s">
        <v>834</v>
      </c>
    </row>
    <row r="159" customFormat="false" ht="35.05" hidden="false" customHeight="false" outlineLevel="0" collapsed="false">
      <c r="A159" s="6" t="s">
        <v>840</v>
      </c>
      <c r="B159" s="6" t="s">
        <v>841</v>
      </c>
      <c r="C159" s="6" t="n">
        <v>1872</v>
      </c>
      <c r="D159" s="6" t="s">
        <v>78</v>
      </c>
      <c r="E159" s="6" t="s">
        <v>842</v>
      </c>
      <c r="F159" s="6" t="s">
        <v>843</v>
      </c>
      <c r="G159" s="6" t="s">
        <v>384</v>
      </c>
      <c r="H159" s="6" t="s">
        <v>13</v>
      </c>
      <c r="I159" s="7" t="n">
        <v>55.682168</v>
      </c>
      <c r="J159" s="7" t="n">
        <v>12.563853</v>
      </c>
      <c r="K159" s="6" t="s">
        <v>62</v>
      </c>
      <c r="L159" s="6" t="n">
        <v>2020</v>
      </c>
      <c r="M159" s="6"/>
      <c r="N159" s="6" t="s">
        <v>14</v>
      </c>
      <c r="O159" s="8"/>
      <c r="P159" s="8" t="s">
        <v>844</v>
      </c>
      <c r="Q159" s="6" t="s">
        <v>845</v>
      </c>
      <c r="R159" s="6" t="n">
        <v>530</v>
      </c>
      <c r="S159" s="6"/>
      <c r="T159" s="6" t="s">
        <v>846</v>
      </c>
      <c r="U159" s="6" t="s">
        <v>847</v>
      </c>
      <c r="V159" s="6" t="s">
        <v>65</v>
      </c>
      <c r="W159" s="8" t="s">
        <v>466</v>
      </c>
    </row>
    <row r="160" customFormat="false" ht="35.05" hidden="false" customHeight="false" outlineLevel="0" collapsed="false">
      <c r="A160" s="6" t="s">
        <v>848</v>
      </c>
      <c r="B160" s="6" t="s">
        <v>849</v>
      </c>
      <c r="C160" s="6" t="n">
        <v>1897</v>
      </c>
      <c r="D160" s="6" t="s">
        <v>78</v>
      </c>
      <c r="E160" s="6" t="s">
        <v>850</v>
      </c>
      <c r="F160" s="6" t="s">
        <v>377</v>
      </c>
      <c r="G160" s="6" t="s">
        <v>378</v>
      </c>
      <c r="H160" s="6" t="s">
        <v>13</v>
      </c>
      <c r="I160" s="7" t="n">
        <v>55.658921</v>
      </c>
      <c r="J160" s="7" t="n">
        <v>12.606499</v>
      </c>
      <c r="K160" s="6" t="s">
        <v>62</v>
      </c>
      <c r="L160" s="6" t="n">
        <v>2020</v>
      </c>
      <c r="M160" s="6"/>
      <c r="N160" s="6" t="s">
        <v>14</v>
      </c>
      <c r="O160" s="8" t="s">
        <v>851</v>
      </c>
      <c r="P160" s="8" t="s">
        <v>852</v>
      </c>
      <c r="Q160" s="6" t="s">
        <v>853</v>
      </c>
      <c r="R160" s="6" t="n">
        <v>536</v>
      </c>
      <c r="S160" s="6"/>
      <c r="T160" s="6" t="s">
        <v>854</v>
      </c>
      <c r="U160" s="6" t="s">
        <v>855</v>
      </c>
      <c r="V160" s="6" t="s">
        <v>65</v>
      </c>
      <c r="W160" s="8"/>
    </row>
    <row r="161" customFormat="false" ht="15" hidden="false" customHeight="false" outlineLevel="0" collapsed="false">
      <c r="A161" s="6" t="s">
        <v>856</v>
      </c>
      <c r="B161" s="6" t="s">
        <v>857</v>
      </c>
      <c r="C161" s="6"/>
      <c r="D161" s="6"/>
      <c r="E161" s="6" t="s">
        <v>858</v>
      </c>
      <c r="F161" s="6" t="s">
        <v>859</v>
      </c>
      <c r="G161" s="6" t="s">
        <v>384</v>
      </c>
      <c r="H161" s="6" t="s">
        <v>13</v>
      </c>
      <c r="I161" s="7" t="n">
        <v>55.676821</v>
      </c>
      <c r="J161" s="7" t="n">
        <v>12.572747</v>
      </c>
      <c r="K161" s="6" t="s">
        <v>62</v>
      </c>
      <c r="L161" s="6" t="n">
        <v>2024</v>
      </c>
      <c r="M161" s="6"/>
      <c r="N161" s="6" t="s">
        <v>14</v>
      </c>
      <c r="O161" s="8"/>
      <c r="P161" s="8"/>
      <c r="Q161" s="6" t="s">
        <v>860</v>
      </c>
      <c r="R161" s="6" t="n">
        <v>2314</v>
      </c>
      <c r="S161" s="6"/>
      <c r="T161" s="6"/>
      <c r="U161" s="6"/>
      <c r="V161" s="6" t="s">
        <v>65</v>
      </c>
      <c r="W161" s="8"/>
    </row>
    <row r="162" customFormat="false" ht="15" hidden="false" customHeight="false" outlineLevel="0" collapsed="false">
      <c r="A162" s="6" t="s">
        <v>861</v>
      </c>
      <c r="B162" s="6" t="s">
        <v>862</v>
      </c>
      <c r="C162" s="6"/>
      <c r="D162" s="6"/>
      <c r="E162" s="6" t="s">
        <v>863</v>
      </c>
      <c r="F162" s="6" t="s">
        <v>864</v>
      </c>
      <c r="G162" s="6" t="s">
        <v>384</v>
      </c>
      <c r="H162" s="6" t="s">
        <v>13</v>
      </c>
      <c r="I162" s="7" t="n">
        <v>55.684537</v>
      </c>
      <c r="J162" s="7" t="n">
        <v>12.587699</v>
      </c>
      <c r="K162" s="6" t="s">
        <v>62</v>
      </c>
      <c r="L162" s="6" t="n">
        <v>2026</v>
      </c>
      <c r="M162" s="6"/>
      <c r="N162" s="6" t="s">
        <v>14</v>
      </c>
      <c r="O162" s="8"/>
      <c r="P162" s="8"/>
      <c r="Q162" s="6" t="s">
        <v>865</v>
      </c>
      <c r="R162" s="6" t="n">
        <v>3249</v>
      </c>
      <c r="S162" s="6"/>
      <c r="T162" s="6"/>
      <c r="U162" s="6"/>
      <c r="V162" s="6" t="s">
        <v>65</v>
      </c>
      <c r="W162" s="8"/>
    </row>
    <row r="163" customFormat="false" ht="46.25" hidden="false" customHeight="false" outlineLevel="0" collapsed="false">
      <c r="A163" s="6" t="s">
        <v>866</v>
      </c>
      <c r="B163" s="6" t="s">
        <v>867</v>
      </c>
      <c r="C163" s="6" t="n">
        <v>1899</v>
      </c>
      <c r="D163" s="6" t="s">
        <v>78</v>
      </c>
      <c r="E163" s="6" t="s">
        <v>868</v>
      </c>
      <c r="F163" s="6" t="s">
        <v>869</v>
      </c>
      <c r="G163" s="6" t="s">
        <v>384</v>
      </c>
      <c r="H163" s="6" t="s">
        <v>13</v>
      </c>
      <c r="I163" s="7" t="n">
        <v>55.686894</v>
      </c>
      <c r="J163" s="7" t="n">
        <v>12.580941</v>
      </c>
      <c r="K163" s="6" t="s">
        <v>62</v>
      </c>
      <c r="L163" s="6" t="n">
        <v>2019</v>
      </c>
      <c r="M163" s="6"/>
      <c r="N163" s="6" t="s">
        <v>14</v>
      </c>
      <c r="O163" s="8"/>
      <c r="P163" s="8" t="s">
        <v>870</v>
      </c>
      <c r="Q163" s="6" t="s">
        <v>871</v>
      </c>
      <c r="R163" s="6" t="n">
        <v>239</v>
      </c>
      <c r="S163" s="6" t="s">
        <v>872</v>
      </c>
      <c r="T163" s="6" t="s">
        <v>873</v>
      </c>
      <c r="U163" s="6" t="s">
        <v>874</v>
      </c>
      <c r="V163" s="6" t="s">
        <v>65</v>
      </c>
      <c r="W163" s="8" t="s">
        <v>875</v>
      </c>
    </row>
    <row r="164" customFormat="false" ht="15" hidden="false" customHeight="false" outlineLevel="0" collapsed="false">
      <c r="A164" s="6" t="s">
        <v>876</v>
      </c>
      <c r="B164" s="6" t="s">
        <v>877</v>
      </c>
      <c r="C164" s="6"/>
      <c r="D164" s="6"/>
      <c r="E164" s="6" t="s">
        <v>878</v>
      </c>
      <c r="F164" s="6" t="s">
        <v>869</v>
      </c>
      <c r="G164" s="6" t="s">
        <v>384</v>
      </c>
      <c r="H164" s="6" t="s">
        <v>13</v>
      </c>
      <c r="I164" s="7" t="n">
        <v>55.690039</v>
      </c>
      <c r="J164" s="7" t="n">
        <v>12.572778</v>
      </c>
      <c r="K164" s="6" t="s">
        <v>62</v>
      </c>
      <c r="L164" s="6" t="n">
        <v>2024</v>
      </c>
      <c r="M164" s="6"/>
      <c r="N164" s="6" t="s">
        <v>14</v>
      </c>
      <c r="O164" s="8"/>
      <c r="P164" s="8"/>
      <c r="Q164" s="6" t="s">
        <v>879</v>
      </c>
      <c r="R164" s="6" t="n">
        <v>2308</v>
      </c>
      <c r="S164" s="6"/>
      <c r="T164" s="6"/>
      <c r="U164" s="6"/>
      <c r="V164" s="6" t="s">
        <v>65</v>
      </c>
      <c r="W164" s="8"/>
    </row>
    <row r="165" customFormat="false" ht="35.05" hidden="false" customHeight="false" outlineLevel="0" collapsed="false">
      <c r="A165" s="6" t="s">
        <v>880</v>
      </c>
      <c r="B165" s="6" t="s">
        <v>881</v>
      </c>
      <c r="C165" s="6" t="n">
        <v>1883</v>
      </c>
      <c r="D165" s="6" t="s">
        <v>147</v>
      </c>
      <c r="E165" s="6" t="s">
        <v>882</v>
      </c>
      <c r="F165" s="6" t="s">
        <v>377</v>
      </c>
      <c r="G165" s="6" t="s">
        <v>378</v>
      </c>
      <c r="H165" s="6" t="s">
        <v>13</v>
      </c>
      <c r="I165" s="7" t="n">
        <v>55.667087</v>
      </c>
      <c r="J165" s="7" t="n">
        <v>12.578047</v>
      </c>
      <c r="K165" s="6" t="s">
        <v>62</v>
      </c>
      <c r="L165" s="6" t="n">
        <v>2020</v>
      </c>
      <c r="M165" s="6"/>
      <c r="N165" s="6" t="s">
        <v>14</v>
      </c>
      <c r="O165" s="8"/>
      <c r="P165" s="8" t="s">
        <v>883</v>
      </c>
      <c r="Q165" s="6" t="s">
        <v>884</v>
      </c>
      <c r="R165" s="6" t="n">
        <v>936</v>
      </c>
      <c r="S165" s="6"/>
      <c r="T165" s="6"/>
      <c r="U165" s="6" t="s">
        <v>885</v>
      </c>
      <c r="V165" s="6" t="s">
        <v>65</v>
      </c>
      <c r="W165" s="8"/>
    </row>
    <row r="166" customFormat="false" ht="15" hidden="false" customHeight="false" outlineLevel="0" collapsed="false">
      <c r="A166" s="6" t="s">
        <v>886</v>
      </c>
      <c r="B166" s="6" t="s">
        <v>887</v>
      </c>
      <c r="C166" s="6"/>
      <c r="D166" s="6"/>
      <c r="E166" s="6" t="s">
        <v>882</v>
      </c>
      <c r="F166" s="6" t="s">
        <v>377</v>
      </c>
      <c r="G166" s="6" t="s">
        <v>378</v>
      </c>
      <c r="H166" s="6" t="s">
        <v>13</v>
      </c>
      <c r="I166" s="7" t="n">
        <v>55.667053</v>
      </c>
      <c r="J166" s="7" t="n">
        <v>12.5781</v>
      </c>
      <c r="K166" s="6" t="s">
        <v>62</v>
      </c>
      <c r="L166" s="6" t="n">
        <v>2025</v>
      </c>
      <c r="M166" s="6"/>
      <c r="N166" s="6" t="s">
        <v>14</v>
      </c>
      <c r="O166" s="8"/>
      <c r="P166" s="8"/>
      <c r="Q166" s="6" t="s">
        <v>888</v>
      </c>
      <c r="R166" s="6" t="n">
        <v>2738</v>
      </c>
      <c r="S166" s="6"/>
      <c r="T166" s="6"/>
      <c r="U166" s="6"/>
      <c r="V166" s="6" t="s">
        <v>65</v>
      </c>
      <c r="W166" s="8"/>
    </row>
    <row r="167" customFormat="false" ht="46.25" hidden="false" customHeight="false" outlineLevel="0" collapsed="false">
      <c r="A167" s="6" t="s">
        <v>889</v>
      </c>
      <c r="B167" s="6" t="s">
        <v>890</v>
      </c>
      <c r="C167" s="6" t="n">
        <v>1880</v>
      </c>
      <c r="D167" s="6" t="s">
        <v>78</v>
      </c>
      <c r="E167" s="6" t="s">
        <v>882</v>
      </c>
      <c r="F167" s="6" t="s">
        <v>377</v>
      </c>
      <c r="G167" s="6" t="s">
        <v>378</v>
      </c>
      <c r="H167" s="6" t="s">
        <v>13</v>
      </c>
      <c r="I167" s="7" t="n">
        <v>55.667117</v>
      </c>
      <c r="J167" s="7" t="n">
        <v>12.578137</v>
      </c>
      <c r="K167" s="6" t="s">
        <v>62</v>
      </c>
      <c r="L167" s="6" t="n">
        <v>2020</v>
      </c>
      <c r="M167" s="6"/>
      <c r="N167" s="6" t="s">
        <v>14</v>
      </c>
      <c r="O167" s="8"/>
      <c r="P167" s="8" t="s">
        <v>891</v>
      </c>
      <c r="Q167" s="6" t="s">
        <v>892</v>
      </c>
      <c r="R167" s="6" t="n">
        <v>937</v>
      </c>
      <c r="S167" s="6"/>
      <c r="T167" s="6"/>
      <c r="U167" s="6" t="s">
        <v>893</v>
      </c>
      <c r="V167" s="6" t="s">
        <v>65</v>
      </c>
      <c r="W167" s="8"/>
    </row>
    <row r="168" customFormat="false" ht="35.05" hidden="false" customHeight="false" outlineLevel="0" collapsed="false">
      <c r="A168" s="6" t="s">
        <v>894</v>
      </c>
      <c r="B168" s="6" t="s">
        <v>895</v>
      </c>
      <c r="C168" s="6" t="n">
        <v>1877</v>
      </c>
      <c r="D168" s="6" t="s">
        <v>78</v>
      </c>
      <c r="E168" s="6" t="s">
        <v>896</v>
      </c>
      <c r="F168" s="6" t="s">
        <v>377</v>
      </c>
      <c r="G168" s="6" t="s">
        <v>378</v>
      </c>
      <c r="H168" s="6" t="s">
        <v>13</v>
      </c>
      <c r="I168" s="7" t="n">
        <v>55.668428</v>
      </c>
      <c r="J168" s="7" t="n">
        <v>12.598784</v>
      </c>
      <c r="K168" s="6" t="s">
        <v>62</v>
      </c>
      <c r="L168" s="6" t="n">
        <v>2022</v>
      </c>
      <c r="M168" s="6"/>
      <c r="N168" s="6" t="s">
        <v>14</v>
      </c>
      <c r="O168" s="8" t="s">
        <v>897</v>
      </c>
      <c r="P168" s="8" t="s">
        <v>898</v>
      </c>
      <c r="Q168" s="6" t="s">
        <v>899</v>
      </c>
      <c r="R168" s="6" t="n">
        <v>574</v>
      </c>
      <c r="S168" s="6"/>
      <c r="T168" s="6" t="s">
        <v>900</v>
      </c>
      <c r="U168" s="6" t="s">
        <v>901</v>
      </c>
      <c r="V168" s="6" t="s">
        <v>65</v>
      </c>
      <c r="W168" s="8"/>
    </row>
    <row r="169" customFormat="false" ht="46.25" hidden="false" customHeight="false" outlineLevel="0" collapsed="false">
      <c r="A169" s="6" t="s">
        <v>902</v>
      </c>
      <c r="B169" s="6" t="s">
        <v>903</v>
      </c>
      <c r="C169" s="6" t="n">
        <v>1860</v>
      </c>
      <c r="D169" s="6" t="s">
        <v>78</v>
      </c>
      <c r="E169" s="6" t="s">
        <v>904</v>
      </c>
      <c r="F169" s="6" t="s">
        <v>905</v>
      </c>
      <c r="G169" s="6" t="s">
        <v>384</v>
      </c>
      <c r="H169" s="6" t="s">
        <v>13</v>
      </c>
      <c r="I169" s="7" t="n">
        <v>55.673511</v>
      </c>
      <c r="J169" s="7" t="n">
        <v>12.574512</v>
      </c>
      <c r="K169" s="6" t="s">
        <v>62</v>
      </c>
      <c r="L169" s="6" t="n">
        <v>2020</v>
      </c>
      <c r="M169" s="6"/>
      <c r="N169" s="6" t="s">
        <v>14</v>
      </c>
      <c r="O169" s="8"/>
      <c r="P169" s="8" t="s">
        <v>906</v>
      </c>
      <c r="Q169" s="6" t="s">
        <v>907</v>
      </c>
      <c r="R169" s="6" t="n">
        <v>531</v>
      </c>
      <c r="S169" s="6"/>
      <c r="T169" s="6" t="s">
        <v>908</v>
      </c>
      <c r="U169" s="6" t="s">
        <v>909</v>
      </c>
      <c r="V169" s="6" t="s">
        <v>65</v>
      </c>
      <c r="W169" s="8" t="s">
        <v>466</v>
      </c>
    </row>
    <row r="170" customFormat="false" ht="35.05" hidden="false" customHeight="false" outlineLevel="0" collapsed="false">
      <c r="A170" s="6" t="s">
        <v>910</v>
      </c>
      <c r="B170" s="6" t="s">
        <v>911</v>
      </c>
      <c r="C170" s="6" t="n">
        <v>1930</v>
      </c>
      <c r="D170" s="6" t="s">
        <v>147</v>
      </c>
      <c r="E170" s="6" t="s">
        <v>912</v>
      </c>
      <c r="F170" s="6" t="s">
        <v>407</v>
      </c>
      <c r="G170" s="6" t="s">
        <v>408</v>
      </c>
      <c r="H170" s="6" t="s">
        <v>13</v>
      </c>
      <c r="I170" s="7" t="n">
        <v>55.699057</v>
      </c>
      <c r="J170" s="7" t="n">
        <v>12.530304</v>
      </c>
      <c r="K170" s="6" t="s">
        <v>62</v>
      </c>
      <c r="L170" s="6" t="n">
        <v>2021</v>
      </c>
      <c r="M170" s="6"/>
      <c r="N170" s="6" t="s">
        <v>14</v>
      </c>
      <c r="O170" s="8"/>
      <c r="P170" s="8" t="s">
        <v>913</v>
      </c>
      <c r="Q170" s="6" t="s">
        <v>914</v>
      </c>
      <c r="R170" s="6" t="n">
        <v>549</v>
      </c>
      <c r="S170" s="6"/>
      <c r="T170" s="6"/>
      <c r="U170" s="6" t="s">
        <v>915</v>
      </c>
      <c r="V170" s="6" t="s">
        <v>65</v>
      </c>
      <c r="W170" s="8"/>
    </row>
    <row r="171" customFormat="false" ht="15" hidden="false" customHeight="false" outlineLevel="0" collapsed="false">
      <c r="A171" s="6" t="s">
        <v>916</v>
      </c>
      <c r="B171" s="6" t="s">
        <v>917</v>
      </c>
      <c r="C171" s="6"/>
      <c r="D171" s="6"/>
      <c r="E171" s="6" t="s">
        <v>918</v>
      </c>
      <c r="F171" s="6" t="s">
        <v>429</v>
      </c>
      <c r="G171" s="6" t="s">
        <v>430</v>
      </c>
      <c r="H171" s="6" t="s">
        <v>13</v>
      </c>
      <c r="I171" s="7" t="n">
        <v>55.699631</v>
      </c>
      <c r="J171" s="7" t="n">
        <v>12.546134</v>
      </c>
      <c r="K171" s="6" t="s">
        <v>62</v>
      </c>
      <c r="L171" s="6" t="n">
        <v>2023</v>
      </c>
      <c r="M171" s="6"/>
      <c r="N171" s="6" t="s">
        <v>14</v>
      </c>
      <c r="O171" s="8"/>
      <c r="P171" s="8"/>
      <c r="Q171" s="6" t="s">
        <v>919</v>
      </c>
      <c r="R171" s="6" t="n">
        <v>1725</v>
      </c>
      <c r="S171" s="6"/>
      <c r="T171" s="6"/>
      <c r="U171" s="6"/>
      <c r="V171" s="6" t="s">
        <v>65</v>
      </c>
      <c r="W171" s="8"/>
    </row>
    <row r="172" customFormat="false" ht="15" hidden="false" customHeight="false" outlineLevel="0" collapsed="false">
      <c r="A172" s="6" t="s">
        <v>920</v>
      </c>
      <c r="B172" s="6" t="s">
        <v>921</v>
      </c>
      <c r="C172" s="6"/>
      <c r="D172" s="6"/>
      <c r="E172" s="6" t="s">
        <v>918</v>
      </c>
      <c r="F172" s="6" t="s">
        <v>429</v>
      </c>
      <c r="G172" s="6" t="s">
        <v>430</v>
      </c>
      <c r="H172" s="6" t="s">
        <v>13</v>
      </c>
      <c r="I172" s="7" t="n">
        <v>55.699491</v>
      </c>
      <c r="J172" s="7" t="n">
        <v>12.546124</v>
      </c>
      <c r="K172" s="6" t="s">
        <v>62</v>
      </c>
      <c r="L172" s="6" t="n">
        <v>2023</v>
      </c>
      <c r="M172" s="6"/>
      <c r="N172" s="6" t="s">
        <v>14</v>
      </c>
      <c r="O172" s="8"/>
      <c r="P172" s="8"/>
      <c r="Q172" s="6" t="s">
        <v>922</v>
      </c>
      <c r="R172" s="6" t="n">
        <v>1727</v>
      </c>
      <c r="S172" s="6"/>
      <c r="T172" s="6"/>
      <c r="U172" s="6"/>
      <c r="V172" s="6" t="s">
        <v>65</v>
      </c>
      <c r="W172" s="8"/>
    </row>
    <row r="173" customFormat="false" ht="15" hidden="false" customHeight="false" outlineLevel="0" collapsed="false">
      <c r="A173" s="6" t="s">
        <v>923</v>
      </c>
      <c r="B173" s="6" t="s">
        <v>924</v>
      </c>
      <c r="C173" s="6"/>
      <c r="D173" s="6"/>
      <c r="E173" s="6" t="s">
        <v>918</v>
      </c>
      <c r="F173" s="6" t="s">
        <v>429</v>
      </c>
      <c r="G173" s="6" t="s">
        <v>430</v>
      </c>
      <c r="H173" s="6" t="s">
        <v>13</v>
      </c>
      <c r="I173" s="7" t="n">
        <v>55.699621</v>
      </c>
      <c r="J173" s="7" t="n">
        <v>12.546134</v>
      </c>
      <c r="K173" s="6" t="s">
        <v>62</v>
      </c>
      <c r="L173" s="6" t="n">
        <v>2023</v>
      </c>
      <c r="M173" s="6"/>
      <c r="N173" s="6" t="s">
        <v>14</v>
      </c>
      <c r="O173" s="8"/>
      <c r="P173" s="8"/>
      <c r="Q173" s="6" t="s">
        <v>925</v>
      </c>
      <c r="R173" s="6" t="n">
        <v>1723</v>
      </c>
      <c r="S173" s="6"/>
      <c r="T173" s="6"/>
      <c r="U173" s="6"/>
      <c r="V173" s="6" t="s">
        <v>65</v>
      </c>
      <c r="W173" s="8"/>
    </row>
    <row r="174" customFormat="false" ht="57.45" hidden="false" customHeight="false" outlineLevel="0" collapsed="false">
      <c r="A174" s="6" t="s">
        <v>926</v>
      </c>
      <c r="B174" s="6" t="s">
        <v>927</v>
      </c>
      <c r="C174" s="6" t="n">
        <v>1912</v>
      </c>
      <c r="D174" s="6" t="s">
        <v>147</v>
      </c>
      <c r="E174" s="6" t="s">
        <v>928</v>
      </c>
      <c r="F174" s="6" t="s">
        <v>929</v>
      </c>
      <c r="G174" s="6" t="s">
        <v>930</v>
      </c>
      <c r="H174" s="6" t="s">
        <v>26</v>
      </c>
      <c r="I174" s="7" t="n">
        <v>55.785829</v>
      </c>
      <c r="J174" s="7" t="n">
        <v>12.544121</v>
      </c>
      <c r="K174" s="6" t="s">
        <v>62</v>
      </c>
      <c r="L174" s="6" t="n">
        <v>2021</v>
      </c>
      <c r="M174" s="6"/>
      <c r="N174" s="6" t="s">
        <v>14</v>
      </c>
      <c r="O174" s="8"/>
      <c r="P174" s="8" t="s">
        <v>931</v>
      </c>
      <c r="Q174" s="6" t="s">
        <v>932</v>
      </c>
      <c r="R174" s="6" t="n">
        <v>923</v>
      </c>
      <c r="S174" s="6"/>
      <c r="T174" s="6"/>
      <c r="U174" s="6" t="s">
        <v>933</v>
      </c>
      <c r="V174" s="6" t="s">
        <v>65</v>
      </c>
      <c r="W174" s="8"/>
    </row>
    <row r="175" customFormat="false" ht="46.25" hidden="false" customHeight="false" outlineLevel="0" collapsed="false">
      <c r="A175" s="6" t="s">
        <v>934</v>
      </c>
      <c r="B175" s="6" t="s">
        <v>935</v>
      </c>
      <c r="C175" s="6" t="n">
        <v>1916</v>
      </c>
      <c r="D175" s="6" t="s">
        <v>147</v>
      </c>
      <c r="E175" s="6" t="s">
        <v>928</v>
      </c>
      <c r="F175" s="6" t="s">
        <v>929</v>
      </c>
      <c r="G175" s="6" t="s">
        <v>930</v>
      </c>
      <c r="H175" s="6" t="s">
        <v>26</v>
      </c>
      <c r="I175" s="7" t="n">
        <v>55.785739</v>
      </c>
      <c r="J175" s="7" t="n">
        <v>12.544151</v>
      </c>
      <c r="K175" s="6" t="s">
        <v>62</v>
      </c>
      <c r="L175" s="6" t="n">
        <v>2021</v>
      </c>
      <c r="M175" s="6"/>
      <c r="N175" s="6" t="s">
        <v>14</v>
      </c>
      <c r="O175" s="8"/>
      <c r="P175" s="8" t="s">
        <v>936</v>
      </c>
      <c r="Q175" s="6" t="s">
        <v>937</v>
      </c>
      <c r="R175" s="6" t="n">
        <v>924</v>
      </c>
      <c r="S175" s="6"/>
      <c r="T175" s="6"/>
      <c r="U175" s="6" t="s">
        <v>938</v>
      </c>
      <c r="V175" s="6" t="s">
        <v>65</v>
      </c>
      <c r="W175" s="8"/>
    </row>
    <row r="176" customFormat="false" ht="15" hidden="false" customHeight="false" outlineLevel="0" collapsed="false">
      <c r="A176" s="6" t="s">
        <v>939</v>
      </c>
      <c r="B176" s="6" t="s">
        <v>940</v>
      </c>
      <c r="C176" s="6"/>
      <c r="D176" s="6"/>
      <c r="E176" s="6" t="s">
        <v>941</v>
      </c>
      <c r="F176" s="6" t="s">
        <v>929</v>
      </c>
      <c r="G176" s="6" t="s">
        <v>930</v>
      </c>
      <c r="H176" s="6" t="s">
        <v>26</v>
      </c>
      <c r="I176" s="7" t="n">
        <v>55.761335</v>
      </c>
      <c r="J176" s="7" t="n">
        <v>12.48097</v>
      </c>
      <c r="K176" s="6" t="s">
        <v>62</v>
      </c>
      <c r="L176" s="6" t="n">
        <v>2026</v>
      </c>
      <c r="M176" s="6"/>
      <c r="N176" s="6" t="s">
        <v>14</v>
      </c>
      <c r="O176" s="8"/>
      <c r="P176" s="8"/>
      <c r="Q176" s="6" t="s">
        <v>942</v>
      </c>
      <c r="R176" s="6" t="n">
        <v>3240</v>
      </c>
      <c r="S176" s="6"/>
      <c r="T176" s="6"/>
      <c r="U176" s="6"/>
      <c r="V176" s="6" t="s">
        <v>65</v>
      </c>
      <c r="W176" s="8"/>
    </row>
    <row r="177" customFormat="false" ht="15" hidden="false" customHeight="false" outlineLevel="0" collapsed="false">
      <c r="A177" s="6" t="s">
        <v>943</v>
      </c>
      <c r="B177" s="6" t="s">
        <v>944</v>
      </c>
      <c r="C177" s="6" t="n">
        <v>1927</v>
      </c>
      <c r="D177" s="6" t="s">
        <v>78</v>
      </c>
      <c r="E177" s="6" t="s">
        <v>945</v>
      </c>
      <c r="F177" s="6" t="s">
        <v>946</v>
      </c>
      <c r="G177" s="6" t="s">
        <v>21</v>
      </c>
      <c r="H177" s="6" t="s">
        <v>21</v>
      </c>
      <c r="I177" s="7"/>
      <c r="J177" s="7"/>
      <c r="K177" s="6"/>
      <c r="L177" s="6" t="n">
        <v>2024</v>
      </c>
      <c r="M177" s="6" t="s">
        <v>947</v>
      </c>
      <c r="N177" s="6" t="s">
        <v>16</v>
      </c>
      <c r="O177" s="8"/>
      <c r="P177" s="8"/>
      <c r="Q177" s="6" t="s">
        <v>948</v>
      </c>
      <c r="R177" s="6"/>
      <c r="S177" s="6"/>
      <c r="T177" s="6"/>
      <c r="U177" s="6"/>
      <c r="V177" s="6" t="s">
        <v>83</v>
      </c>
      <c r="W177" s="8" t="s">
        <v>949</v>
      </c>
    </row>
    <row r="178" customFormat="false" ht="15" hidden="false" customHeight="false" outlineLevel="0" collapsed="false">
      <c r="A178" s="6" t="s">
        <v>950</v>
      </c>
      <c r="B178" s="6" t="s">
        <v>951</v>
      </c>
      <c r="C178" s="6" t="n">
        <v>1925</v>
      </c>
      <c r="D178" s="6" t="s">
        <v>78</v>
      </c>
      <c r="E178" s="6" t="s">
        <v>952</v>
      </c>
      <c r="F178" s="6" t="s">
        <v>946</v>
      </c>
      <c r="G178" s="6" t="s">
        <v>21</v>
      </c>
      <c r="H178" s="6" t="s">
        <v>21</v>
      </c>
      <c r="I178" s="7"/>
      <c r="J178" s="7"/>
      <c r="K178" s="6"/>
      <c r="L178" s="6" t="n">
        <v>2024</v>
      </c>
      <c r="M178" s="6" t="s">
        <v>947</v>
      </c>
      <c r="N178" s="6" t="s">
        <v>16</v>
      </c>
      <c r="O178" s="8"/>
      <c r="P178" s="8"/>
      <c r="Q178" s="6" t="s">
        <v>948</v>
      </c>
      <c r="R178" s="6"/>
      <c r="S178" s="6"/>
      <c r="T178" s="6"/>
      <c r="U178" s="6"/>
      <c r="V178" s="6" t="s">
        <v>83</v>
      </c>
      <c r="W178" s="8" t="s">
        <v>949</v>
      </c>
    </row>
    <row r="179" customFormat="false" ht="15" hidden="false" customHeight="false" outlineLevel="0" collapsed="false">
      <c r="A179" s="6" t="s">
        <v>953</v>
      </c>
      <c r="B179" s="6" t="s">
        <v>954</v>
      </c>
      <c r="C179" s="6"/>
      <c r="D179" s="6"/>
      <c r="E179" s="6" t="s">
        <v>955</v>
      </c>
      <c r="F179" s="6" t="s">
        <v>956</v>
      </c>
      <c r="G179" s="6" t="s">
        <v>957</v>
      </c>
      <c r="H179" s="6" t="s">
        <v>21</v>
      </c>
      <c r="I179" s="7" t="n">
        <v>55.235932</v>
      </c>
      <c r="J179" s="7" t="n">
        <v>10.728751</v>
      </c>
      <c r="K179" s="6" t="s">
        <v>62</v>
      </c>
      <c r="L179" s="6" t="n">
        <v>2026</v>
      </c>
      <c r="M179" s="6"/>
      <c r="N179" s="6" t="s">
        <v>14</v>
      </c>
      <c r="O179" s="8"/>
      <c r="P179" s="8"/>
      <c r="Q179" s="6" t="s">
        <v>958</v>
      </c>
      <c r="R179" s="6" t="n">
        <v>3242</v>
      </c>
      <c r="S179" s="6"/>
      <c r="T179" s="6"/>
      <c r="U179" s="6"/>
      <c r="V179" s="6" t="s">
        <v>65</v>
      </c>
      <c r="W179" s="8"/>
    </row>
    <row r="180" customFormat="false" ht="15" hidden="false" customHeight="false" outlineLevel="0" collapsed="false">
      <c r="A180" s="6" t="s">
        <v>959</v>
      </c>
      <c r="B180" s="6" t="s">
        <v>960</v>
      </c>
      <c r="C180" s="6" t="n">
        <v>1925</v>
      </c>
      <c r="D180" s="6" t="s">
        <v>78</v>
      </c>
      <c r="E180" s="6" t="s">
        <v>961</v>
      </c>
      <c r="F180" s="6" t="s">
        <v>946</v>
      </c>
      <c r="G180" s="6" t="s">
        <v>21</v>
      </c>
      <c r="H180" s="6" t="s">
        <v>21</v>
      </c>
      <c r="I180" s="7"/>
      <c r="J180" s="7"/>
      <c r="K180" s="6"/>
      <c r="L180" s="6" t="n">
        <v>2024</v>
      </c>
      <c r="M180" s="6" t="s">
        <v>947</v>
      </c>
      <c r="N180" s="6" t="s">
        <v>16</v>
      </c>
      <c r="O180" s="8"/>
      <c r="P180" s="8"/>
      <c r="Q180" s="6" t="s">
        <v>948</v>
      </c>
      <c r="R180" s="6"/>
      <c r="S180" s="6"/>
      <c r="T180" s="6"/>
      <c r="U180" s="6"/>
      <c r="V180" s="6" t="s">
        <v>83</v>
      </c>
      <c r="W180" s="8" t="s">
        <v>949</v>
      </c>
    </row>
    <row r="181" customFormat="false" ht="15" hidden="false" customHeight="false" outlineLevel="0" collapsed="false">
      <c r="A181" s="6" t="s">
        <v>962</v>
      </c>
      <c r="B181" s="6" t="s">
        <v>963</v>
      </c>
      <c r="C181" s="6" t="n">
        <v>1918</v>
      </c>
      <c r="D181" s="6" t="s">
        <v>78</v>
      </c>
      <c r="E181" s="6" t="s">
        <v>964</v>
      </c>
      <c r="F181" s="6" t="s">
        <v>946</v>
      </c>
      <c r="G181" s="6" t="s">
        <v>21</v>
      </c>
      <c r="H181" s="6" t="s">
        <v>21</v>
      </c>
      <c r="I181" s="7"/>
      <c r="J181" s="7"/>
      <c r="K181" s="6"/>
      <c r="L181" s="6" t="n">
        <v>2024</v>
      </c>
      <c r="M181" s="6" t="s">
        <v>947</v>
      </c>
      <c r="N181" s="6" t="s">
        <v>16</v>
      </c>
      <c r="O181" s="8"/>
      <c r="P181" s="8"/>
      <c r="Q181" s="6" t="s">
        <v>948</v>
      </c>
      <c r="R181" s="6"/>
      <c r="S181" s="6"/>
      <c r="T181" s="6"/>
      <c r="U181" s="6"/>
      <c r="V181" s="6" t="s">
        <v>83</v>
      </c>
      <c r="W181" s="8" t="s">
        <v>965</v>
      </c>
    </row>
    <row r="182" customFormat="false" ht="23.85" hidden="false" customHeight="false" outlineLevel="0" collapsed="false">
      <c r="A182" s="6" t="s">
        <v>966</v>
      </c>
      <c r="B182" s="6" t="s">
        <v>967</v>
      </c>
      <c r="C182" s="6" t="n">
        <v>1900</v>
      </c>
      <c r="D182" s="6" t="s">
        <v>78</v>
      </c>
      <c r="E182" s="6" t="s">
        <v>968</v>
      </c>
      <c r="F182" s="6"/>
      <c r="G182" s="6" t="s">
        <v>19</v>
      </c>
      <c r="H182" s="6" t="s">
        <v>19</v>
      </c>
      <c r="I182" s="7"/>
      <c r="J182" s="7"/>
      <c r="K182" s="6"/>
      <c r="L182" s="6" t="n">
        <v>2022</v>
      </c>
      <c r="M182" s="6" t="s">
        <v>969</v>
      </c>
      <c r="N182" s="6" t="s">
        <v>16</v>
      </c>
      <c r="O182" s="8"/>
      <c r="P182" s="8"/>
      <c r="Q182" s="6" t="s">
        <v>970</v>
      </c>
      <c r="R182" s="6"/>
      <c r="S182" s="6"/>
      <c r="T182" s="6"/>
      <c r="U182" s="6" t="s">
        <v>971</v>
      </c>
      <c r="V182" s="6" t="s">
        <v>972</v>
      </c>
      <c r="W182" s="8" t="s">
        <v>973</v>
      </c>
    </row>
    <row r="183" customFormat="false" ht="23.85" hidden="false" customHeight="false" outlineLevel="0" collapsed="false">
      <c r="A183" s="6" t="s">
        <v>974</v>
      </c>
      <c r="B183" s="6" t="s">
        <v>975</v>
      </c>
      <c r="C183" s="6"/>
      <c r="D183" s="6"/>
      <c r="E183" s="6" t="s">
        <v>976</v>
      </c>
      <c r="F183" s="6" t="s">
        <v>977</v>
      </c>
      <c r="G183" s="6" t="s">
        <v>978</v>
      </c>
      <c r="H183" s="6" t="s">
        <v>19</v>
      </c>
      <c r="I183" s="7"/>
      <c r="J183" s="7"/>
      <c r="K183" s="6"/>
      <c r="L183" s="6" t="n">
        <v>2022</v>
      </c>
      <c r="M183" s="6" t="s">
        <v>969</v>
      </c>
      <c r="N183" s="6" t="s">
        <v>16</v>
      </c>
      <c r="O183" s="8"/>
      <c r="P183" s="8"/>
      <c r="Q183" s="6" t="s">
        <v>970</v>
      </c>
      <c r="R183" s="6"/>
      <c r="S183" s="6"/>
      <c r="T183" s="6"/>
      <c r="U183" s="6" t="s">
        <v>979</v>
      </c>
      <c r="V183" s="6" t="s">
        <v>972</v>
      </c>
      <c r="W183" s="8" t="s">
        <v>980</v>
      </c>
    </row>
    <row r="184" customFormat="false" ht="15" hidden="false" customHeight="false" outlineLevel="0" collapsed="false">
      <c r="A184" s="6" t="s">
        <v>981</v>
      </c>
      <c r="B184" s="6" t="s">
        <v>982</v>
      </c>
      <c r="C184" s="6"/>
      <c r="D184" s="6"/>
      <c r="E184" s="6" t="s">
        <v>983</v>
      </c>
      <c r="F184" s="6" t="s">
        <v>984</v>
      </c>
      <c r="G184" s="6" t="s">
        <v>985</v>
      </c>
      <c r="H184" s="6" t="s">
        <v>19</v>
      </c>
      <c r="I184" s="7"/>
      <c r="J184" s="7"/>
      <c r="K184" s="6"/>
      <c r="L184" s="6" t="n">
        <v>2021</v>
      </c>
      <c r="M184" s="6" t="s">
        <v>986</v>
      </c>
      <c r="N184" s="6" t="s">
        <v>16</v>
      </c>
      <c r="O184" s="8"/>
      <c r="P184" s="8"/>
      <c r="Q184" s="6" t="s">
        <v>970</v>
      </c>
      <c r="R184" s="6"/>
      <c r="S184" s="6"/>
      <c r="T184" s="6"/>
      <c r="U184" s="6" t="s">
        <v>987</v>
      </c>
      <c r="V184" s="6" t="s">
        <v>83</v>
      </c>
      <c r="W184" s="8"/>
    </row>
    <row r="185" customFormat="false" ht="15" hidden="false" customHeight="false" outlineLevel="0" collapsed="false">
      <c r="A185" s="6" t="s">
        <v>988</v>
      </c>
      <c r="B185" s="6" t="s">
        <v>989</v>
      </c>
      <c r="C185" s="6"/>
      <c r="D185" s="6"/>
      <c r="E185" s="6" t="s">
        <v>990</v>
      </c>
      <c r="F185" s="6" t="s">
        <v>977</v>
      </c>
      <c r="G185" s="6" t="s">
        <v>978</v>
      </c>
      <c r="H185" s="6" t="s">
        <v>19</v>
      </c>
      <c r="I185" s="7"/>
      <c r="J185" s="7"/>
      <c r="K185" s="6"/>
      <c r="L185" s="6" t="n">
        <v>2021</v>
      </c>
      <c r="M185" s="6" t="s">
        <v>986</v>
      </c>
      <c r="N185" s="6" t="s">
        <v>16</v>
      </c>
      <c r="O185" s="8"/>
      <c r="P185" s="8"/>
      <c r="Q185" s="6" t="s">
        <v>970</v>
      </c>
      <c r="R185" s="6"/>
      <c r="S185" s="6"/>
      <c r="T185" s="6"/>
      <c r="U185" s="6" t="s">
        <v>991</v>
      </c>
      <c r="V185" s="6" t="s">
        <v>83</v>
      </c>
      <c r="W185" s="8" t="s">
        <v>185</v>
      </c>
    </row>
    <row r="186" customFormat="false" ht="35.05" hidden="false" customHeight="false" outlineLevel="0" collapsed="false">
      <c r="A186" s="6" t="s">
        <v>992</v>
      </c>
      <c r="B186" s="6" t="s">
        <v>993</v>
      </c>
      <c r="C186" s="6"/>
      <c r="D186" s="6" t="s">
        <v>78</v>
      </c>
      <c r="E186" s="6" t="s">
        <v>990</v>
      </c>
      <c r="F186" s="6" t="s">
        <v>977</v>
      </c>
      <c r="G186" s="6" t="s">
        <v>978</v>
      </c>
      <c r="H186" s="6" t="s">
        <v>19</v>
      </c>
      <c r="I186" s="7"/>
      <c r="J186" s="7"/>
      <c r="K186" s="6"/>
      <c r="L186" s="6" t="n">
        <v>2022</v>
      </c>
      <c r="M186" s="6" t="s">
        <v>969</v>
      </c>
      <c r="N186" s="6" t="s">
        <v>16</v>
      </c>
      <c r="O186" s="8"/>
      <c r="P186" s="8"/>
      <c r="Q186" s="6" t="s">
        <v>970</v>
      </c>
      <c r="R186" s="6"/>
      <c r="S186" s="6"/>
      <c r="T186" s="6"/>
      <c r="U186" s="6" t="s">
        <v>994</v>
      </c>
      <c r="V186" s="6" t="s">
        <v>972</v>
      </c>
      <c r="W186" s="8" t="s">
        <v>995</v>
      </c>
    </row>
    <row r="187" customFormat="false" ht="15" hidden="false" customHeight="false" outlineLevel="0" collapsed="false">
      <c r="A187" s="6" t="s">
        <v>996</v>
      </c>
      <c r="B187" s="6" t="s">
        <v>997</v>
      </c>
      <c r="C187" s="6"/>
      <c r="D187" s="6" t="s">
        <v>78</v>
      </c>
      <c r="E187" s="6" t="s">
        <v>998</v>
      </c>
      <c r="F187" s="6"/>
      <c r="G187" s="6" t="s">
        <v>19</v>
      </c>
      <c r="H187" s="6" t="s">
        <v>19</v>
      </c>
      <c r="I187" s="7"/>
      <c r="J187" s="7"/>
      <c r="K187" s="6"/>
      <c r="L187" s="6" t="n">
        <v>2026</v>
      </c>
      <c r="M187" s="6" t="s">
        <v>999</v>
      </c>
      <c r="N187" s="6" t="s">
        <v>16</v>
      </c>
      <c r="O187" s="8"/>
      <c r="P187" s="8"/>
      <c r="Q187" s="6" t="s">
        <v>970</v>
      </c>
      <c r="R187" s="6"/>
      <c r="S187" s="6"/>
      <c r="T187" s="6"/>
      <c r="U187" s="6"/>
      <c r="V187" s="6" t="s">
        <v>83</v>
      </c>
      <c r="W187" s="8" t="s">
        <v>1000</v>
      </c>
    </row>
    <row r="188" customFormat="false" ht="35.05" hidden="false" customHeight="false" outlineLevel="0" collapsed="false">
      <c r="A188" s="6" t="s">
        <v>1001</v>
      </c>
      <c r="B188" s="6" t="s">
        <v>1002</v>
      </c>
      <c r="C188" s="6" t="n">
        <v>1903</v>
      </c>
      <c r="D188" s="6" t="s">
        <v>78</v>
      </c>
      <c r="E188" s="6" t="s">
        <v>1003</v>
      </c>
      <c r="F188" s="6" t="s">
        <v>984</v>
      </c>
      <c r="G188" s="6" t="s">
        <v>985</v>
      </c>
      <c r="H188" s="6" t="s">
        <v>19</v>
      </c>
      <c r="I188" s="7" t="n">
        <v>55.382956</v>
      </c>
      <c r="J188" s="7" t="n">
        <v>10.396196</v>
      </c>
      <c r="K188" s="6" t="s">
        <v>62</v>
      </c>
      <c r="L188" s="6" t="n">
        <v>2021</v>
      </c>
      <c r="M188" s="6" t="s">
        <v>986</v>
      </c>
      <c r="N188" s="6" t="s">
        <v>22</v>
      </c>
      <c r="O188" s="8" t="s">
        <v>1004</v>
      </c>
      <c r="P188" s="8"/>
      <c r="Q188" s="6" t="s">
        <v>1005</v>
      </c>
      <c r="R188" s="6" t="n">
        <v>540</v>
      </c>
      <c r="S188" s="6"/>
      <c r="T188" s="6" t="s">
        <v>1006</v>
      </c>
      <c r="U188" s="6" t="s">
        <v>1007</v>
      </c>
      <c r="V188" s="6" t="s">
        <v>65</v>
      </c>
      <c r="W188" s="8" t="s">
        <v>1008</v>
      </c>
    </row>
    <row r="189" customFormat="false" ht="15" hidden="false" customHeight="false" outlineLevel="0" collapsed="false">
      <c r="A189" s="6" t="s">
        <v>1009</v>
      </c>
      <c r="B189" s="6" t="s">
        <v>1010</v>
      </c>
      <c r="C189" s="6"/>
      <c r="D189" s="6"/>
      <c r="E189" s="6" t="s">
        <v>1011</v>
      </c>
      <c r="F189" s="6" t="s">
        <v>984</v>
      </c>
      <c r="G189" s="6" t="s">
        <v>985</v>
      </c>
      <c r="H189" s="6" t="s">
        <v>19</v>
      </c>
      <c r="I189" s="7"/>
      <c r="J189" s="7"/>
      <c r="K189" s="6"/>
      <c r="L189" s="6" t="n">
        <v>2021</v>
      </c>
      <c r="M189" s="6" t="s">
        <v>986</v>
      </c>
      <c r="N189" s="6" t="s">
        <v>16</v>
      </c>
      <c r="O189" s="8"/>
      <c r="P189" s="8"/>
      <c r="Q189" s="6" t="s">
        <v>970</v>
      </c>
      <c r="R189" s="6"/>
      <c r="S189" s="6"/>
      <c r="T189" s="6"/>
      <c r="U189" s="6" t="s">
        <v>1012</v>
      </c>
      <c r="V189" s="6" t="s">
        <v>83</v>
      </c>
      <c r="W189" s="8"/>
    </row>
    <row r="190" customFormat="false" ht="15" hidden="false" customHeight="false" outlineLevel="0" collapsed="false">
      <c r="A190" s="6" t="s">
        <v>1013</v>
      </c>
      <c r="B190" s="6" t="s">
        <v>1014</v>
      </c>
      <c r="C190" s="6"/>
      <c r="D190" s="6"/>
      <c r="E190" s="6" t="s">
        <v>1015</v>
      </c>
      <c r="F190" s="6" t="s">
        <v>1016</v>
      </c>
      <c r="G190" s="6" t="s">
        <v>1017</v>
      </c>
      <c r="H190" s="6" t="s">
        <v>19</v>
      </c>
      <c r="I190" s="7"/>
      <c r="J190" s="7"/>
      <c r="K190" s="6"/>
      <c r="L190" s="6" t="n">
        <v>2021</v>
      </c>
      <c r="M190" s="6" t="s">
        <v>986</v>
      </c>
      <c r="N190" s="6" t="s">
        <v>16</v>
      </c>
      <c r="O190" s="8"/>
      <c r="P190" s="8"/>
      <c r="Q190" s="6" t="s">
        <v>970</v>
      </c>
      <c r="R190" s="6"/>
      <c r="S190" s="6"/>
      <c r="T190" s="6"/>
      <c r="U190" s="6" t="s">
        <v>1018</v>
      </c>
      <c r="V190" s="6" t="s">
        <v>83</v>
      </c>
      <c r="W190" s="8"/>
    </row>
    <row r="191" customFormat="false" ht="15" hidden="false" customHeight="false" outlineLevel="0" collapsed="false">
      <c r="A191" s="6" t="s">
        <v>1019</v>
      </c>
      <c r="B191" s="6" t="s">
        <v>1020</v>
      </c>
      <c r="C191" s="6"/>
      <c r="D191" s="6"/>
      <c r="E191" s="6" t="s">
        <v>1021</v>
      </c>
      <c r="F191" s="6" t="s">
        <v>1022</v>
      </c>
      <c r="G191" s="6" t="s">
        <v>1023</v>
      </c>
      <c r="H191" s="6" t="s">
        <v>19</v>
      </c>
      <c r="I191" s="7"/>
      <c r="J191" s="7"/>
      <c r="K191" s="6"/>
      <c r="L191" s="6" t="n">
        <v>2021</v>
      </c>
      <c r="M191" s="6" t="s">
        <v>986</v>
      </c>
      <c r="N191" s="6" t="s">
        <v>16</v>
      </c>
      <c r="O191" s="8"/>
      <c r="P191" s="8"/>
      <c r="Q191" s="6" t="s">
        <v>970</v>
      </c>
      <c r="R191" s="6"/>
      <c r="S191" s="6"/>
      <c r="T191" s="6"/>
      <c r="U191" s="6" t="s">
        <v>1024</v>
      </c>
      <c r="V191" s="6" t="s">
        <v>83</v>
      </c>
      <c r="W191" s="8"/>
    </row>
    <row r="192" customFormat="false" ht="15" hidden="false" customHeight="false" outlineLevel="0" collapsed="false">
      <c r="A192" s="6" t="s">
        <v>1025</v>
      </c>
      <c r="B192" s="6" t="s">
        <v>1026</v>
      </c>
      <c r="C192" s="6"/>
      <c r="D192" s="6"/>
      <c r="E192" s="6" t="s">
        <v>1027</v>
      </c>
      <c r="F192" s="6" t="s">
        <v>977</v>
      </c>
      <c r="G192" s="6" t="s">
        <v>978</v>
      </c>
      <c r="H192" s="6" t="s">
        <v>19</v>
      </c>
      <c r="I192" s="7"/>
      <c r="J192" s="7"/>
      <c r="K192" s="6"/>
      <c r="L192" s="6" t="n">
        <v>2021</v>
      </c>
      <c r="M192" s="6" t="s">
        <v>986</v>
      </c>
      <c r="N192" s="6" t="s">
        <v>16</v>
      </c>
      <c r="O192" s="8"/>
      <c r="P192" s="8"/>
      <c r="Q192" s="6" t="s">
        <v>970</v>
      </c>
      <c r="R192" s="6"/>
      <c r="S192" s="6"/>
      <c r="T192" s="6"/>
      <c r="U192" s="6" t="s">
        <v>1028</v>
      </c>
      <c r="V192" s="6" t="s">
        <v>83</v>
      </c>
      <c r="W192" s="8"/>
    </row>
    <row r="193" customFormat="false" ht="15" hidden="false" customHeight="false" outlineLevel="0" collapsed="false">
      <c r="A193" s="6" t="s">
        <v>1029</v>
      </c>
      <c r="B193" s="6" t="s">
        <v>1030</v>
      </c>
      <c r="C193" s="6"/>
      <c r="D193" s="6"/>
      <c r="E193" s="6" t="s">
        <v>1031</v>
      </c>
      <c r="F193" s="6" t="s">
        <v>977</v>
      </c>
      <c r="G193" s="6" t="s">
        <v>978</v>
      </c>
      <c r="H193" s="6" t="s">
        <v>19</v>
      </c>
      <c r="I193" s="7"/>
      <c r="J193" s="7"/>
      <c r="K193" s="6"/>
      <c r="L193" s="6" t="n">
        <v>2021</v>
      </c>
      <c r="M193" s="6" t="s">
        <v>986</v>
      </c>
      <c r="N193" s="6" t="s">
        <v>16</v>
      </c>
      <c r="O193" s="8"/>
      <c r="P193" s="8"/>
      <c r="Q193" s="6" t="s">
        <v>970</v>
      </c>
      <c r="R193" s="6"/>
      <c r="S193" s="6"/>
      <c r="T193" s="6"/>
      <c r="U193" s="6" t="s">
        <v>1032</v>
      </c>
      <c r="V193" s="6" t="s">
        <v>83</v>
      </c>
      <c r="W193" s="8"/>
    </row>
    <row r="194" customFormat="false" ht="15" hidden="false" customHeight="false" outlineLevel="0" collapsed="false">
      <c r="A194" s="6" t="s">
        <v>1033</v>
      </c>
      <c r="B194" s="6" t="s">
        <v>1034</v>
      </c>
      <c r="C194" s="6"/>
      <c r="D194" s="6"/>
      <c r="E194" s="6" t="s">
        <v>1035</v>
      </c>
      <c r="F194" s="6" t="s">
        <v>977</v>
      </c>
      <c r="G194" s="6" t="s">
        <v>978</v>
      </c>
      <c r="H194" s="6" t="s">
        <v>19</v>
      </c>
      <c r="I194" s="7"/>
      <c r="J194" s="7"/>
      <c r="K194" s="6"/>
      <c r="L194" s="6" t="n">
        <v>2021</v>
      </c>
      <c r="M194" s="6" t="s">
        <v>986</v>
      </c>
      <c r="N194" s="6" t="s">
        <v>16</v>
      </c>
      <c r="O194" s="8"/>
      <c r="P194" s="8"/>
      <c r="Q194" s="6" t="s">
        <v>970</v>
      </c>
      <c r="R194" s="6"/>
      <c r="S194" s="6"/>
      <c r="T194" s="6"/>
      <c r="U194" s="6" t="s">
        <v>1036</v>
      </c>
      <c r="V194" s="6" t="s">
        <v>83</v>
      </c>
      <c r="W194" s="8" t="s">
        <v>1037</v>
      </c>
    </row>
    <row r="195" customFormat="false" ht="15" hidden="false" customHeight="false" outlineLevel="0" collapsed="false">
      <c r="A195" s="6" t="s">
        <v>1038</v>
      </c>
      <c r="B195" s="6" t="s">
        <v>1039</v>
      </c>
      <c r="C195" s="6"/>
      <c r="D195" s="6"/>
      <c r="E195" s="6" t="s">
        <v>1040</v>
      </c>
      <c r="F195" s="6" t="s">
        <v>977</v>
      </c>
      <c r="G195" s="6" t="s">
        <v>978</v>
      </c>
      <c r="H195" s="6" t="s">
        <v>19</v>
      </c>
      <c r="I195" s="7"/>
      <c r="J195" s="7"/>
      <c r="K195" s="6"/>
      <c r="L195" s="6" t="n">
        <v>2021</v>
      </c>
      <c r="M195" s="6" t="s">
        <v>986</v>
      </c>
      <c r="N195" s="6" t="s">
        <v>16</v>
      </c>
      <c r="O195" s="8"/>
      <c r="P195" s="8"/>
      <c r="Q195" s="6" t="s">
        <v>970</v>
      </c>
      <c r="R195" s="6"/>
      <c r="S195" s="6"/>
      <c r="T195" s="6"/>
      <c r="U195" s="6" t="s">
        <v>1041</v>
      </c>
      <c r="V195" s="6" t="s">
        <v>83</v>
      </c>
      <c r="W195" s="8"/>
    </row>
    <row r="196" customFormat="false" ht="23.85" hidden="false" customHeight="false" outlineLevel="0" collapsed="false">
      <c r="A196" s="6" t="s">
        <v>1042</v>
      </c>
      <c r="B196" s="6" t="s">
        <v>1043</v>
      </c>
      <c r="C196" s="6"/>
      <c r="D196" s="6" t="s">
        <v>78</v>
      </c>
      <c r="E196" s="6" t="s">
        <v>1044</v>
      </c>
      <c r="F196" s="6"/>
      <c r="G196" s="6" t="s">
        <v>978</v>
      </c>
      <c r="H196" s="6" t="s">
        <v>19</v>
      </c>
      <c r="I196" s="7"/>
      <c r="J196" s="7"/>
      <c r="K196" s="6"/>
      <c r="L196" s="6" t="n">
        <v>2024</v>
      </c>
      <c r="M196" s="6" t="s">
        <v>1045</v>
      </c>
      <c r="N196" s="6" t="s">
        <v>16</v>
      </c>
      <c r="O196" s="8"/>
      <c r="P196" s="8"/>
      <c r="Q196" s="6" t="s">
        <v>970</v>
      </c>
      <c r="R196" s="6"/>
      <c r="S196" s="6"/>
      <c r="T196" s="6"/>
      <c r="U196" s="6"/>
      <c r="V196" s="6" t="s">
        <v>83</v>
      </c>
      <c r="W196" s="8" t="s">
        <v>1046</v>
      </c>
    </row>
    <row r="197" customFormat="false" ht="15" hidden="false" customHeight="false" outlineLevel="0" collapsed="false">
      <c r="A197" s="6" t="s">
        <v>1047</v>
      </c>
      <c r="B197" s="6" t="s">
        <v>1048</v>
      </c>
      <c r="C197" s="6"/>
      <c r="D197" s="6"/>
      <c r="E197" s="6" t="s">
        <v>1049</v>
      </c>
      <c r="F197" s="6" t="s">
        <v>1050</v>
      </c>
      <c r="G197" s="6" t="s">
        <v>24</v>
      </c>
      <c r="H197" s="6" t="s">
        <v>24</v>
      </c>
      <c r="I197" s="7" t="n">
        <v>56.461888</v>
      </c>
      <c r="J197" s="7" t="n">
        <v>10.029983</v>
      </c>
      <c r="K197" s="6" t="s">
        <v>62</v>
      </c>
      <c r="L197" s="6" t="n">
        <v>2023</v>
      </c>
      <c r="M197" s="6"/>
      <c r="N197" s="6" t="s">
        <v>14</v>
      </c>
      <c r="O197" s="8"/>
      <c r="P197" s="8"/>
      <c r="Q197" s="6" t="s">
        <v>1051</v>
      </c>
      <c r="R197" s="6" t="n">
        <v>1659</v>
      </c>
      <c r="S197" s="6"/>
      <c r="T197" s="6"/>
      <c r="U197" s="6"/>
      <c r="V197" s="6" t="s">
        <v>65</v>
      </c>
      <c r="W197" s="8" t="s">
        <v>1052</v>
      </c>
    </row>
    <row r="198" customFormat="false" ht="15" hidden="false" customHeight="false" outlineLevel="0" collapsed="false">
      <c r="A198" s="6" t="s">
        <v>1053</v>
      </c>
      <c r="B198" s="6" t="s">
        <v>1054</v>
      </c>
      <c r="C198" s="6"/>
      <c r="D198" s="6"/>
      <c r="E198" s="6" t="s">
        <v>1055</v>
      </c>
      <c r="F198" s="6" t="s">
        <v>1050</v>
      </c>
      <c r="G198" s="6" t="s">
        <v>24</v>
      </c>
      <c r="H198" s="6" t="s">
        <v>24</v>
      </c>
      <c r="I198" s="7" t="n">
        <v>56.45712</v>
      </c>
      <c r="J198" s="7" t="n">
        <v>10.038386</v>
      </c>
      <c r="K198" s="6" t="s">
        <v>62</v>
      </c>
      <c r="L198" s="6" t="n">
        <v>2023</v>
      </c>
      <c r="M198" s="6"/>
      <c r="N198" s="6" t="s">
        <v>14</v>
      </c>
      <c r="O198" s="8"/>
      <c r="P198" s="8"/>
      <c r="Q198" s="6" t="s">
        <v>1056</v>
      </c>
      <c r="R198" s="6" t="n">
        <v>1718</v>
      </c>
      <c r="S198" s="6"/>
      <c r="T198" s="6"/>
      <c r="U198" s="6"/>
      <c r="V198" s="6" t="s">
        <v>65</v>
      </c>
      <c r="W198" s="8"/>
    </row>
    <row r="199" customFormat="false" ht="15" hidden="false" customHeight="false" outlineLevel="0" collapsed="false">
      <c r="A199" s="6" t="s">
        <v>1057</v>
      </c>
      <c r="B199" s="6" t="s">
        <v>1058</v>
      </c>
      <c r="C199" s="6"/>
      <c r="D199" s="6"/>
      <c r="E199" s="6" t="s">
        <v>1055</v>
      </c>
      <c r="F199" s="6" t="s">
        <v>1050</v>
      </c>
      <c r="G199" s="6" t="s">
        <v>24</v>
      </c>
      <c r="H199" s="6" t="s">
        <v>24</v>
      </c>
      <c r="I199" s="7" t="n">
        <v>56.4571</v>
      </c>
      <c r="J199" s="7" t="n">
        <v>10.038536</v>
      </c>
      <c r="K199" s="6" t="s">
        <v>62</v>
      </c>
      <c r="L199" s="6" t="n">
        <v>2023</v>
      </c>
      <c r="M199" s="6"/>
      <c r="N199" s="6" t="s">
        <v>14</v>
      </c>
      <c r="O199" s="8"/>
      <c r="P199" s="8"/>
      <c r="Q199" s="6" t="s">
        <v>1059</v>
      </c>
      <c r="R199" s="6" t="n">
        <v>1661</v>
      </c>
      <c r="S199" s="6"/>
      <c r="T199" s="6"/>
      <c r="U199" s="6"/>
      <c r="V199" s="6" t="s">
        <v>65</v>
      </c>
      <c r="W199" s="8"/>
    </row>
    <row r="200" customFormat="false" ht="15" hidden="false" customHeight="false" outlineLevel="0" collapsed="false">
      <c r="A200" s="6" t="s">
        <v>1060</v>
      </c>
      <c r="B200" s="6" t="s">
        <v>1061</v>
      </c>
      <c r="C200" s="6"/>
      <c r="D200" s="6"/>
      <c r="E200" s="6" t="s">
        <v>1055</v>
      </c>
      <c r="F200" s="6" t="s">
        <v>1050</v>
      </c>
      <c r="G200" s="6" t="s">
        <v>24</v>
      </c>
      <c r="H200" s="6" t="s">
        <v>24</v>
      </c>
      <c r="I200" s="7" t="n">
        <v>56.45703</v>
      </c>
      <c r="J200" s="7" t="n">
        <v>10.038486</v>
      </c>
      <c r="K200" s="6" t="s">
        <v>62</v>
      </c>
      <c r="L200" s="6" t="n">
        <v>2023</v>
      </c>
      <c r="M200" s="6"/>
      <c r="N200" s="6" t="s">
        <v>14</v>
      </c>
      <c r="O200" s="8"/>
      <c r="P200" s="8"/>
      <c r="Q200" s="6" t="s">
        <v>1062</v>
      </c>
      <c r="R200" s="6" t="n">
        <v>1720</v>
      </c>
      <c r="S200" s="6"/>
      <c r="T200" s="6"/>
      <c r="U200" s="6"/>
      <c r="V200" s="6" t="s">
        <v>65</v>
      </c>
      <c r="W200" s="8"/>
    </row>
    <row r="201" customFormat="false" ht="15" hidden="false" customHeight="false" outlineLevel="0" collapsed="false">
      <c r="A201" s="6" t="s">
        <v>1063</v>
      </c>
      <c r="B201" s="6" t="s">
        <v>1064</v>
      </c>
      <c r="C201" s="6"/>
      <c r="D201" s="6"/>
      <c r="E201" s="6" t="s">
        <v>1055</v>
      </c>
      <c r="F201" s="6" t="s">
        <v>1050</v>
      </c>
      <c r="G201" s="6" t="s">
        <v>24</v>
      </c>
      <c r="H201" s="6" t="s">
        <v>24</v>
      </c>
      <c r="I201" s="7" t="n">
        <v>56.45694</v>
      </c>
      <c r="J201" s="7" t="n">
        <v>10.038536</v>
      </c>
      <c r="K201" s="6" t="s">
        <v>62</v>
      </c>
      <c r="L201" s="6" t="n">
        <v>2023</v>
      </c>
      <c r="M201" s="6"/>
      <c r="N201" s="6" t="s">
        <v>14</v>
      </c>
      <c r="O201" s="8"/>
      <c r="P201" s="8"/>
      <c r="Q201" s="6" t="s">
        <v>1065</v>
      </c>
      <c r="R201" s="6" t="n">
        <v>1719</v>
      </c>
      <c r="S201" s="6"/>
      <c r="T201" s="6"/>
      <c r="U201" s="6"/>
      <c r="V201" s="6" t="s">
        <v>65</v>
      </c>
      <c r="W201" s="8"/>
    </row>
    <row r="202" customFormat="false" ht="15" hidden="false" customHeight="false" outlineLevel="0" collapsed="false">
      <c r="A202" s="6" t="s">
        <v>1066</v>
      </c>
      <c r="B202" s="6" t="s">
        <v>1067</v>
      </c>
      <c r="C202" s="6" t="n">
        <v>1886</v>
      </c>
      <c r="D202" s="6" t="s">
        <v>78</v>
      </c>
      <c r="E202" s="6" t="s">
        <v>1068</v>
      </c>
      <c r="F202" s="6" t="s">
        <v>1069</v>
      </c>
      <c r="G202" s="6" t="s">
        <v>29</v>
      </c>
      <c r="H202" s="6" t="s">
        <v>29</v>
      </c>
      <c r="I202" s="7"/>
      <c r="J202" s="7"/>
      <c r="K202" s="6"/>
      <c r="L202" s="6" t="n">
        <v>2022</v>
      </c>
      <c r="M202" s="6" t="s">
        <v>1070</v>
      </c>
      <c r="N202" s="6" t="s">
        <v>16</v>
      </c>
      <c r="O202" s="8"/>
      <c r="P202" s="8"/>
      <c r="Q202" s="6" t="s">
        <v>1071</v>
      </c>
      <c r="R202" s="6"/>
      <c r="S202" s="6"/>
      <c r="T202" s="6"/>
      <c r="U202" s="6"/>
      <c r="V202" s="6" t="s">
        <v>83</v>
      </c>
      <c r="W202" s="8"/>
    </row>
    <row r="203" customFormat="false" ht="15" hidden="false" customHeight="false" outlineLevel="0" collapsed="false">
      <c r="A203" s="6" t="s">
        <v>1072</v>
      </c>
      <c r="B203" s="6" t="s">
        <v>1073</v>
      </c>
      <c r="C203" s="6" t="n">
        <v>1909</v>
      </c>
      <c r="D203" s="6" t="s">
        <v>78</v>
      </c>
      <c r="E203" s="6" t="s">
        <v>1074</v>
      </c>
      <c r="F203" s="6" t="s">
        <v>1069</v>
      </c>
      <c r="G203" s="6" t="s">
        <v>29</v>
      </c>
      <c r="H203" s="6" t="s">
        <v>29</v>
      </c>
      <c r="I203" s="7"/>
      <c r="J203" s="7"/>
      <c r="K203" s="6"/>
      <c r="L203" s="6" t="n">
        <v>2022</v>
      </c>
      <c r="M203" s="6" t="s">
        <v>1070</v>
      </c>
      <c r="N203" s="6" t="s">
        <v>16</v>
      </c>
      <c r="O203" s="8"/>
      <c r="P203" s="8"/>
      <c r="Q203" s="6" t="s">
        <v>1071</v>
      </c>
      <c r="R203" s="6"/>
      <c r="S203" s="6"/>
      <c r="T203" s="6"/>
      <c r="U203" s="6"/>
      <c r="V203" s="6" t="s">
        <v>83</v>
      </c>
      <c r="W203" s="8" t="s">
        <v>1075</v>
      </c>
    </row>
    <row r="204" customFormat="false" ht="15" hidden="false" customHeight="false" outlineLevel="0" collapsed="false">
      <c r="A204" s="6" t="s">
        <v>1076</v>
      </c>
      <c r="B204" s="6" t="s">
        <v>1077</v>
      </c>
      <c r="C204" s="6" t="n">
        <v>1920</v>
      </c>
      <c r="D204" s="6" t="s">
        <v>1078</v>
      </c>
      <c r="E204" s="6" t="s">
        <v>1079</v>
      </c>
      <c r="F204" s="6" t="s">
        <v>1080</v>
      </c>
      <c r="G204" s="6" t="s">
        <v>1081</v>
      </c>
      <c r="H204" s="6" t="s">
        <v>29</v>
      </c>
      <c r="I204" s="7"/>
      <c r="J204" s="7"/>
      <c r="K204" s="6"/>
      <c r="L204" s="6" t="n">
        <v>2022</v>
      </c>
      <c r="M204" s="6" t="s">
        <v>1070</v>
      </c>
      <c r="N204" s="6" t="s">
        <v>16</v>
      </c>
      <c r="O204" s="8"/>
      <c r="P204" s="8"/>
      <c r="Q204" s="6" t="s">
        <v>1071</v>
      </c>
      <c r="R204" s="6"/>
      <c r="S204" s="6"/>
      <c r="T204" s="6"/>
      <c r="U204" s="6"/>
      <c r="V204" s="6" t="s">
        <v>83</v>
      </c>
      <c r="W204" s="8" t="s">
        <v>1082</v>
      </c>
    </row>
    <row r="205" customFormat="false" ht="23.85" hidden="false" customHeight="false" outlineLevel="0" collapsed="false">
      <c r="A205" s="6" t="s">
        <v>1083</v>
      </c>
      <c r="B205" s="6" t="s">
        <v>1084</v>
      </c>
      <c r="C205" s="6" t="n">
        <v>1904</v>
      </c>
      <c r="D205" s="6"/>
      <c r="E205" s="6"/>
      <c r="F205" s="6" t="s">
        <v>1085</v>
      </c>
      <c r="G205" s="6" t="s">
        <v>1086</v>
      </c>
      <c r="H205" s="6" t="s">
        <v>28</v>
      </c>
      <c r="I205" s="7" t="n">
        <v>55.158403</v>
      </c>
      <c r="J205" s="7" t="n">
        <v>8.770122</v>
      </c>
      <c r="K205" s="6" t="s">
        <v>1087</v>
      </c>
      <c r="L205" s="6" t="n">
        <v>2025</v>
      </c>
      <c r="M205" s="6" t="s">
        <v>1088</v>
      </c>
      <c r="N205" s="6" t="s">
        <v>18</v>
      </c>
      <c r="O205" s="8"/>
      <c r="P205" s="8"/>
      <c r="Q205" s="6" t="s">
        <v>1089</v>
      </c>
      <c r="R205" s="6"/>
      <c r="S205" s="6"/>
      <c r="T205" s="6"/>
      <c r="U205" s="6" t="s">
        <v>1090</v>
      </c>
      <c r="V205" s="6" t="s">
        <v>972</v>
      </c>
      <c r="W205" s="8" t="s">
        <v>1091</v>
      </c>
    </row>
    <row r="206" customFormat="false" ht="23.85" hidden="false" customHeight="false" outlineLevel="0" collapsed="false">
      <c r="A206" s="6" t="s">
        <v>1092</v>
      </c>
      <c r="B206" s="6" t="s">
        <v>1093</v>
      </c>
      <c r="C206" s="6" t="n">
        <v>1906</v>
      </c>
      <c r="D206" s="6"/>
      <c r="E206" s="6"/>
      <c r="F206" s="6" t="s">
        <v>1085</v>
      </c>
      <c r="G206" s="6" t="s">
        <v>1086</v>
      </c>
      <c r="H206" s="6" t="s">
        <v>28</v>
      </c>
      <c r="I206" s="7" t="n">
        <v>55.158058</v>
      </c>
      <c r="J206" s="7" t="n">
        <v>8.762281</v>
      </c>
      <c r="K206" s="6" t="s">
        <v>1087</v>
      </c>
      <c r="L206" s="6" t="n">
        <v>2025</v>
      </c>
      <c r="M206" s="6" t="s">
        <v>1088</v>
      </c>
      <c r="N206" s="6" t="s">
        <v>18</v>
      </c>
      <c r="O206" s="8"/>
      <c r="P206" s="8"/>
      <c r="Q206" s="6" t="s">
        <v>1089</v>
      </c>
      <c r="R206" s="6"/>
      <c r="S206" s="6"/>
      <c r="T206" s="6"/>
      <c r="U206" s="6" t="s">
        <v>1094</v>
      </c>
      <c r="V206" s="6" t="s">
        <v>972</v>
      </c>
      <c r="W206" s="8" t="s">
        <v>1091</v>
      </c>
    </row>
    <row r="207" customFormat="false" ht="23.85" hidden="false" customHeight="false" outlineLevel="0" collapsed="false">
      <c r="A207" s="6" t="s">
        <v>1095</v>
      </c>
      <c r="B207" s="6" t="s">
        <v>1096</v>
      </c>
      <c r="C207" s="6" t="n">
        <v>1913</v>
      </c>
      <c r="D207" s="6"/>
      <c r="E207" s="6"/>
      <c r="F207" s="6" t="s">
        <v>1085</v>
      </c>
      <c r="G207" s="6" t="s">
        <v>1086</v>
      </c>
      <c r="H207" s="6" t="s">
        <v>28</v>
      </c>
      <c r="I207" s="7" t="n">
        <v>55.15805</v>
      </c>
      <c r="J207" s="7" t="n">
        <v>8.762278</v>
      </c>
      <c r="K207" s="6" t="s">
        <v>1087</v>
      </c>
      <c r="L207" s="6" t="n">
        <v>2025</v>
      </c>
      <c r="M207" s="6" t="s">
        <v>1088</v>
      </c>
      <c r="N207" s="6" t="s">
        <v>18</v>
      </c>
      <c r="O207" s="8"/>
      <c r="P207" s="8"/>
      <c r="Q207" s="6" t="s">
        <v>1089</v>
      </c>
      <c r="R207" s="6"/>
      <c r="S207" s="6"/>
      <c r="T207" s="6"/>
      <c r="U207" s="6" t="s">
        <v>1097</v>
      </c>
      <c r="V207" s="6" t="s">
        <v>972</v>
      </c>
      <c r="W207" s="8" t="s">
        <v>1091</v>
      </c>
    </row>
    <row r="208" customFormat="false" ht="15" hidden="false" customHeight="false" outlineLevel="0" collapsed="false">
      <c r="A208" s="6" t="s">
        <v>1098</v>
      </c>
      <c r="B208" s="6" t="s">
        <v>1099</v>
      </c>
      <c r="C208" s="6"/>
      <c r="D208" s="6"/>
      <c r="E208" s="6" t="s">
        <v>1100</v>
      </c>
      <c r="F208" s="6" t="s">
        <v>1101</v>
      </c>
      <c r="G208" s="6" t="s">
        <v>27</v>
      </c>
      <c r="H208" s="6" t="s">
        <v>27</v>
      </c>
      <c r="I208" s="7" t="n">
        <v>55.672331</v>
      </c>
      <c r="J208" s="7" t="n">
        <v>9.433917</v>
      </c>
      <c r="K208" s="6" t="s">
        <v>62</v>
      </c>
      <c r="L208" s="6" t="n">
        <v>2023</v>
      </c>
      <c r="M208" s="6"/>
      <c r="N208" s="6" t="s">
        <v>14</v>
      </c>
      <c r="O208" s="8"/>
      <c r="P208" s="8"/>
      <c r="Q208" s="6" t="s">
        <v>1102</v>
      </c>
      <c r="R208" s="6" t="n">
        <v>1914</v>
      </c>
      <c r="S208" s="6"/>
      <c r="T208" s="6"/>
      <c r="U208" s="6"/>
      <c r="V208" s="6" t="s">
        <v>65</v>
      </c>
      <c r="W208" s="8"/>
    </row>
    <row r="209" customFormat="false" ht="15" hidden="false" customHeight="false" outlineLevel="0" collapsed="false">
      <c r="A209" s="6" t="s">
        <v>1103</v>
      </c>
      <c r="B209" s="6" t="s">
        <v>1104</v>
      </c>
      <c r="C209" s="6"/>
      <c r="D209" s="6"/>
      <c r="E209" s="6" t="s">
        <v>1100</v>
      </c>
      <c r="F209" s="6" t="s">
        <v>1101</v>
      </c>
      <c r="G209" s="6" t="s">
        <v>27</v>
      </c>
      <c r="H209" s="6" t="s">
        <v>27</v>
      </c>
      <c r="I209" s="7" t="n">
        <v>55.672221</v>
      </c>
      <c r="J209" s="7" t="n">
        <v>9.433927</v>
      </c>
      <c r="K209" s="6" t="s">
        <v>62</v>
      </c>
      <c r="L209" s="6" t="n">
        <v>2023</v>
      </c>
      <c r="M209" s="6"/>
      <c r="N209" s="6" t="s">
        <v>14</v>
      </c>
      <c r="O209" s="8"/>
      <c r="P209" s="8"/>
      <c r="Q209" s="6" t="s">
        <v>1105</v>
      </c>
      <c r="R209" s="6" t="n">
        <v>1907</v>
      </c>
      <c r="S209" s="6"/>
      <c r="T209" s="6"/>
      <c r="U209" s="6"/>
      <c r="V209" s="6" t="s">
        <v>65</v>
      </c>
      <c r="W209" s="8"/>
    </row>
    <row r="210" customFormat="false" ht="15" hidden="false" customHeight="false" outlineLevel="0" collapsed="false">
      <c r="A210" s="6" t="s">
        <v>1106</v>
      </c>
      <c r="B210" s="6" t="s">
        <v>1107</v>
      </c>
      <c r="C210" s="6"/>
      <c r="D210" s="6"/>
      <c r="E210" s="6" t="s">
        <v>1100</v>
      </c>
      <c r="F210" s="6" t="s">
        <v>1101</v>
      </c>
      <c r="G210" s="6" t="s">
        <v>27</v>
      </c>
      <c r="H210" s="6" t="s">
        <v>27</v>
      </c>
      <c r="I210" s="7" t="n">
        <v>55.672161</v>
      </c>
      <c r="J210" s="7" t="n">
        <v>9.433767</v>
      </c>
      <c r="K210" s="6" t="s">
        <v>62</v>
      </c>
      <c r="L210" s="6" t="n">
        <v>2023</v>
      </c>
      <c r="M210" s="6"/>
      <c r="N210" s="6" t="s">
        <v>14</v>
      </c>
      <c r="O210" s="8"/>
      <c r="P210" s="8"/>
      <c r="Q210" s="6" t="s">
        <v>1108</v>
      </c>
      <c r="R210" s="6" t="n">
        <v>1910</v>
      </c>
      <c r="S210" s="6"/>
      <c r="T210" s="6"/>
      <c r="U210" s="6"/>
      <c r="V210" s="6" t="s">
        <v>65</v>
      </c>
      <c r="W210" s="8"/>
    </row>
    <row r="211" customFormat="false" ht="23.85" hidden="false" customHeight="false" outlineLevel="0" collapsed="false">
      <c r="A211" s="6" t="s">
        <v>1109</v>
      </c>
      <c r="B211" s="6" t="s">
        <v>1110</v>
      </c>
      <c r="C211" s="6" t="n">
        <v>1904</v>
      </c>
      <c r="D211" s="6" t="s">
        <v>147</v>
      </c>
      <c r="E211" s="6"/>
      <c r="F211" s="6"/>
      <c r="G211" s="6" t="s">
        <v>1111</v>
      </c>
      <c r="H211" s="6" t="s">
        <v>32</v>
      </c>
      <c r="I211" s="7" t="n">
        <v>54.99714</v>
      </c>
      <c r="J211" s="7" t="n">
        <v>12.15768</v>
      </c>
      <c r="K211" s="6" t="s">
        <v>1112</v>
      </c>
      <c r="L211" s="6" t="n">
        <v>2023</v>
      </c>
      <c r="M211" s="6" t="s">
        <v>1113</v>
      </c>
      <c r="N211" s="6" t="s">
        <v>20</v>
      </c>
      <c r="O211" s="8" t="s">
        <v>1114</v>
      </c>
      <c r="P211" s="8"/>
      <c r="Q211" s="6" t="s">
        <v>1115</v>
      </c>
      <c r="R211" s="6"/>
      <c r="S211" s="6"/>
      <c r="T211" s="6" t="s">
        <v>1116</v>
      </c>
      <c r="U211" s="6"/>
      <c r="V211" s="6" t="s">
        <v>972</v>
      </c>
      <c r="W211" s="8" t="s">
        <v>1117</v>
      </c>
    </row>
  </sheetData>
  <conditionalFormatting sqref="A2:W211">
    <cfRule type="expression" priority="2" aboveAverage="0" equalAverage="0" bottom="0" percent="0" rank="0" text="" dxfId="5">
      <formula>$V2="Afvigelse – tjek"</formula>
    </cfRule>
    <cfRule type="expression" priority="3" aboveAverage="0" equalAverage="0" bottom="0" percent="0" rank="0" text="" dxfId="6">
      <formula>$V2="Skal verificeres"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4" t="s">
        <v>1118</v>
      </c>
      <c r="B1" s="4" t="s">
        <v>1119</v>
      </c>
      <c r="C1" s="4" t="s">
        <v>1120</v>
      </c>
      <c r="D1" s="4" t="s">
        <v>1121</v>
      </c>
    </row>
    <row r="2" customFormat="false" ht="23.85" hidden="false" customHeight="false" outlineLevel="0" collapsed="false">
      <c r="A2" s="8" t="s">
        <v>609</v>
      </c>
      <c r="B2" s="8" t="s">
        <v>1122</v>
      </c>
      <c r="C2" s="8" t="s">
        <v>1123</v>
      </c>
      <c r="D2" s="8" t="s">
        <v>1124</v>
      </c>
    </row>
    <row r="3" customFormat="false" ht="15" hidden="false" customHeight="false" outlineLevel="0" collapsed="false">
      <c r="A3" s="8" t="s">
        <v>1125</v>
      </c>
      <c r="B3" s="8" t="s">
        <v>1126</v>
      </c>
      <c r="C3" s="8" t="s">
        <v>1127</v>
      </c>
      <c r="D3" s="8" t="s">
        <v>1128</v>
      </c>
    </row>
    <row r="4" customFormat="false" ht="23.85" hidden="false" customHeight="false" outlineLevel="0" collapsed="false">
      <c r="A4" s="8" t="s">
        <v>95</v>
      </c>
      <c r="B4" s="8" t="s">
        <v>1129</v>
      </c>
      <c r="C4" s="8" t="s">
        <v>1130</v>
      </c>
      <c r="D4" s="8" t="s">
        <v>1131</v>
      </c>
    </row>
    <row r="5" customFormat="false" ht="23.85" hidden="false" customHeight="false" outlineLevel="0" collapsed="false">
      <c r="A5" s="8" t="s">
        <v>653</v>
      </c>
      <c r="B5" s="8" t="s">
        <v>1132</v>
      </c>
      <c r="C5" s="8" t="s">
        <v>1133</v>
      </c>
      <c r="D5" s="8" t="s">
        <v>1134</v>
      </c>
    </row>
    <row r="6" customFormat="false" ht="15" hidden="false" customHeight="false" outlineLevel="0" collapsed="false">
      <c r="A6" s="8" t="s">
        <v>307</v>
      </c>
      <c r="B6" s="8" t="s">
        <v>1132</v>
      </c>
      <c r="C6" s="8" t="s">
        <v>1135</v>
      </c>
      <c r="D6" s="8" t="s">
        <v>1136</v>
      </c>
    </row>
    <row r="7" customFormat="false" ht="23.85" hidden="false" customHeight="false" outlineLevel="0" collapsed="false">
      <c r="A7" s="8" t="s">
        <v>1137</v>
      </c>
      <c r="B7" s="8" t="s">
        <v>1138</v>
      </c>
      <c r="C7" s="8" t="s">
        <v>1139</v>
      </c>
      <c r="D7" s="8" t="s">
        <v>1140</v>
      </c>
    </row>
    <row r="8" customFormat="false" ht="15" hidden="false" customHeight="false" outlineLevel="0" collapsed="false">
      <c r="A8" s="8" t="s">
        <v>226</v>
      </c>
      <c r="B8" s="8" t="s">
        <v>1141</v>
      </c>
      <c r="C8" s="8" t="s">
        <v>1142</v>
      </c>
      <c r="D8" s="8" t="s">
        <v>1143</v>
      </c>
    </row>
    <row r="9" customFormat="false" ht="23.85" hidden="false" customHeight="false" outlineLevel="0" collapsed="false">
      <c r="A9" s="8" t="s">
        <v>1144</v>
      </c>
      <c r="B9" s="8" t="s">
        <v>1145</v>
      </c>
      <c r="C9" s="8" t="s">
        <v>1146</v>
      </c>
      <c r="D9" s="8" t="s">
        <v>1147</v>
      </c>
    </row>
    <row r="10" customFormat="false" ht="23.85" hidden="false" customHeight="false" outlineLevel="0" collapsed="false">
      <c r="A10" s="8" t="s">
        <v>1148</v>
      </c>
      <c r="B10" s="8" t="s">
        <v>1149</v>
      </c>
      <c r="C10" s="8" t="s">
        <v>1150</v>
      </c>
      <c r="D10" s="8" t="s">
        <v>1151</v>
      </c>
    </row>
    <row r="11" customFormat="false" ht="15" hidden="false" customHeight="false" outlineLevel="0" collapsed="false">
      <c r="A11" s="8" t="s">
        <v>1152</v>
      </c>
      <c r="B11" s="8" t="s">
        <v>1153</v>
      </c>
      <c r="C11" s="8" t="s">
        <v>1154</v>
      </c>
      <c r="D11" s="8" t="s">
        <v>1155</v>
      </c>
    </row>
    <row r="12" customFormat="false" ht="23.85" hidden="false" customHeight="false" outlineLevel="0" collapsed="false">
      <c r="A12" s="8" t="s">
        <v>1156</v>
      </c>
      <c r="B12" s="8" t="s">
        <v>1157</v>
      </c>
      <c r="C12" s="8" t="s">
        <v>1158</v>
      </c>
      <c r="D12" s="8" t="s">
        <v>1159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4" t="s">
        <v>1160</v>
      </c>
      <c r="B1" s="4" t="s">
        <v>1161</v>
      </c>
      <c r="C1" s="4" t="s">
        <v>1162</v>
      </c>
      <c r="D1" s="4" t="s">
        <v>55</v>
      </c>
    </row>
    <row r="2" customFormat="false" ht="15" hidden="false" customHeight="false" outlineLevel="0" collapsed="false">
      <c r="A2" s="8" t="s">
        <v>1163</v>
      </c>
      <c r="B2" s="8" t="s">
        <v>1164</v>
      </c>
      <c r="C2" s="8" t="s">
        <v>1165</v>
      </c>
      <c r="D2" s="8" t="s">
        <v>1166</v>
      </c>
    </row>
    <row r="3" customFormat="false" ht="15" hidden="false" customHeight="false" outlineLevel="0" collapsed="false">
      <c r="A3" s="8" t="s">
        <v>1167</v>
      </c>
      <c r="B3" s="8" t="s">
        <v>1164</v>
      </c>
      <c r="C3" s="8" t="s">
        <v>1168</v>
      </c>
      <c r="D3" s="8" t="s">
        <v>1166</v>
      </c>
    </row>
    <row r="4" customFormat="false" ht="15" hidden="false" customHeight="false" outlineLevel="0" collapsed="false">
      <c r="A4" s="8" t="s">
        <v>28</v>
      </c>
      <c r="B4" s="8" t="s">
        <v>1164</v>
      </c>
      <c r="C4" s="8" t="s">
        <v>1169</v>
      </c>
      <c r="D4" s="8" t="s">
        <v>1166</v>
      </c>
    </row>
    <row r="5" customFormat="false" ht="23.85" hidden="false" customHeight="false" outlineLevel="0" collapsed="false">
      <c r="A5" s="8" t="s">
        <v>1086</v>
      </c>
      <c r="B5" s="8" t="s">
        <v>1170</v>
      </c>
      <c r="C5" s="8" t="s">
        <v>1089</v>
      </c>
      <c r="D5" s="8" t="s">
        <v>1171</v>
      </c>
    </row>
    <row r="6" customFormat="false" ht="15" hidden="false" customHeight="false" outlineLevel="0" collapsed="false">
      <c r="A6" s="8" t="s">
        <v>1172</v>
      </c>
      <c r="B6" s="8" t="s">
        <v>1173</v>
      </c>
      <c r="C6" s="8" t="s">
        <v>1174</v>
      </c>
      <c r="D6" s="8" t="s">
        <v>1175</v>
      </c>
    </row>
    <row r="7" customFormat="false" ht="15" hidden="false" customHeight="false" outlineLevel="0" collapsed="false">
      <c r="A7" s="8" t="s">
        <v>1176</v>
      </c>
      <c r="B7" s="8" t="s">
        <v>1177</v>
      </c>
      <c r="C7" s="8" t="s">
        <v>1178</v>
      </c>
      <c r="D7" s="8" t="s">
        <v>1171</v>
      </c>
    </row>
    <row r="8" customFormat="false" ht="15" hidden="false" customHeight="false" outlineLevel="0" collapsed="false">
      <c r="A8" s="8" t="s">
        <v>1179</v>
      </c>
      <c r="B8" s="8" t="s">
        <v>1180</v>
      </c>
      <c r="C8" s="8" t="s">
        <v>1181</v>
      </c>
      <c r="D8" s="8" t="s">
        <v>1182</v>
      </c>
    </row>
    <row r="9" customFormat="false" ht="15" hidden="false" customHeight="false" outlineLevel="0" collapsed="false">
      <c r="A9" s="8" t="s">
        <v>1183</v>
      </c>
      <c r="B9" s="8" t="s">
        <v>1184</v>
      </c>
      <c r="C9" s="8" t="s">
        <v>1185</v>
      </c>
      <c r="D9" s="8" t="s">
        <v>1186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4" t="s">
        <v>1187</v>
      </c>
      <c r="B1" s="4" t="s">
        <v>1188</v>
      </c>
      <c r="C1" s="4" t="s">
        <v>1189</v>
      </c>
    </row>
    <row r="2" customFormat="false" ht="15" hidden="false" customHeight="false" outlineLevel="0" collapsed="false">
      <c r="A2" s="8" t="s">
        <v>36</v>
      </c>
      <c r="B2" s="8" t="s">
        <v>1190</v>
      </c>
      <c r="C2" s="8" t="s">
        <v>1191</v>
      </c>
    </row>
    <row r="3" customFormat="false" ht="15" hidden="false" customHeight="false" outlineLevel="0" collapsed="false">
      <c r="A3" s="8" t="s">
        <v>37</v>
      </c>
      <c r="B3" s="8"/>
      <c r="C3" s="8" t="s">
        <v>1191</v>
      </c>
    </row>
    <row r="4" customFormat="false" ht="15" hidden="false" customHeight="false" outlineLevel="0" collapsed="false">
      <c r="A4" s="8" t="s">
        <v>38</v>
      </c>
      <c r="B4" s="8"/>
      <c r="C4" s="8" t="s">
        <v>1191</v>
      </c>
    </row>
    <row r="5" customFormat="false" ht="23.85" hidden="false" customHeight="false" outlineLevel="0" collapsed="false">
      <c r="A5" s="8" t="s">
        <v>39</v>
      </c>
      <c r="B5" s="8" t="s">
        <v>1192</v>
      </c>
      <c r="C5" s="8" t="s">
        <v>1191</v>
      </c>
    </row>
    <row r="6" customFormat="false" ht="15" hidden="false" customHeight="false" outlineLevel="0" collapsed="false">
      <c r="A6" s="8" t="s">
        <v>40</v>
      </c>
      <c r="B6" s="8"/>
      <c r="C6" s="8" t="s">
        <v>1191</v>
      </c>
    </row>
    <row r="7" customFormat="false" ht="15" hidden="false" customHeight="false" outlineLevel="0" collapsed="false">
      <c r="A7" s="8" t="s">
        <v>41</v>
      </c>
      <c r="B7" s="8"/>
      <c r="C7" s="8" t="s">
        <v>1191</v>
      </c>
    </row>
    <row r="8" customFormat="false" ht="15" hidden="false" customHeight="false" outlineLevel="0" collapsed="false">
      <c r="A8" s="8" t="s">
        <v>42</v>
      </c>
      <c r="B8" s="8"/>
      <c r="C8" s="8" t="s">
        <v>1191</v>
      </c>
    </row>
    <row r="9" customFormat="false" ht="15" hidden="false" customHeight="false" outlineLevel="0" collapsed="false">
      <c r="A9" s="8" t="s">
        <v>8</v>
      </c>
      <c r="B9" s="8"/>
      <c r="C9" s="8" t="s">
        <v>1191</v>
      </c>
    </row>
    <row r="10" customFormat="false" ht="15" hidden="false" customHeight="false" outlineLevel="0" collapsed="false">
      <c r="A10" s="8" t="s">
        <v>43</v>
      </c>
      <c r="B10" s="8"/>
      <c r="C10" s="8" t="s">
        <v>1191</v>
      </c>
    </row>
    <row r="11" customFormat="false" ht="15" hidden="false" customHeight="false" outlineLevel="0" collapsed="false">
      <c r="A11" s="8" t="s">
        <v>44</v>
      </c>
      <c r="B11" s="8"/>
      <c r="C11" s="8" t="s">
        <v>1191</v>
      </c>
    </row>
    <row r="12" customFormat="false" ht="23.85" hidden="false" customHeight="false" outlineLevel="0" collapsed="false">
      <c r="A12" s="8" t="s">
        <v>45</v>
      </c>
      <c r="B12" s="8" t="s">
        <v>1193</v>
      </c>
      <c r="C12" s="8" t="s">
        <v>1191</v>
      </c>
    </row>
    <row r="13" customFormat="false" ht="15" hidden="false" customHeight="false" outlineLevel="0" collapsed="false">
      <c r="A13" s="8" t="s">
        <v>46</v>
      </c>
      <c r="B13" s="8"/>
      <c r="C13" s="8" t="s">
        <v>1191</v>
      </c>
    </row>
    <row r="14" customFormat="false" ht="15" hidden="false" customHeight="false" outlineLevel="0" collapsed="false">
      <c r="A14" s="8" t="s">
        <v>47</v>
      </c>
      <c r="B14" s="8"/>
      <c r="C14" s="8" t="s">
        <v>1191</v>
      </c>
    </row>
    <row r="15" customFormat="false" ht="15" hidden="false" customHeight="false" outlineLevel="0" collapsed="false">
      <c r="A15" s="8" t="s">
        <v>12</v>
      </c>
      <c r="B15" s="8" t="s">
        <v>1194</v>
      </c>
      <c r="C15" s="8" t="s">
        <v>1191</v>
      </c>
    </row>
    <row r="16" customFormat="false" ht="15" hidden="false" customHeight="false" outlineLevel="0" collapsed="false">
      <c r="A16" s="8" t="s">
        <v>48</v>
      </c>
      <c r="B16" s="8" t="s">
        <v>1195</v>
      </c>
      <c r="C16" s="8" t="s">
        <v>1196</v>
      </c>
    </row>
    <row r="17" customFormat="false" ht="15" hidden="false" customHeight="false" outlineLevel="0" collapsed="false">
      <c r="A17" s="8" t="s">
        <v>49</v>
      </c>
      <c r="B17" s="8" t="s">
        <v>1197</v>
      </c>
      <c r="C17" s="8" t="s">
        <v>1191</v>
      </c>
    </row>
    <row r="18" customFormat="false" ht="15" hidden="false" customHeight="false" outlineLevel="0" collapsed="false">
      <c r="A18" s="8" t="s">
        <v>50</v>
      </c>
      <c r="B18" s="8" t="s">
        <v>1198</v>
      </c>
      <c r="C18" s="8" t="s">
        <v>1191</v>
      </c>
    </row>
    <row r="19" customFormat="false" ht="15" hidden="false" customHeight="false" outlineLevel="0" collapsed="false">
      <c r="A19" s="8" t="s">
        <v>51</v>
      </c>
      <c r="B19" s="8"/>
      <c r="C19" s="8" t="s">
        <v>1191</v>
      </c>
    </row>
    <row r="20" customFormat="false" ht="15" hidden="false" customHeight="false" outlineLevel="0" collapsed="false">
      <c r="A20" s="8" t="s">
        <v>52</v>
      </c>
      <c r="B20" s="8"/>
      <c r="C20" s="8" t="s">
        <v>1191</v>
      </c>
    </row>
    <row r="21" customFormat="false" ht="23.85" hidden="false" customHeight="false" outlineLevel="0" collapsed="false">
      <c r="A21" s="8" t="s">
        <v>53</v>
      </c>
      <c r="B21" s="8" t="s">
        <v>1199</v>
      </c>
      <c r="C21" s="8" t="s">
        <v>1191</v>
      </c>
    </row>
    <row r="22" customFormat="false" ht="15" hidden="false" customHeight="false" outlineLevel="0" collapsed="false">
      <c r="A22" s="8" t="s">
        <v>54</v>
      </c>
      <c r="B22" s="8"/>
      <c r="C22" s="8" t="s">
        <v>1191</v>
      </c>
    </row>
    <row r="23" customFormat="false" ht="23.85" hidden="false" customHeight="false" outlineLevel="0" collapsed="false">
      <c r="A23" s="8" t="s">
        <v>55</v>
      </c>
      <c r="B23" s="8" t="s">
        <v>1200</v>
      </c>
      <c r="C23" s="8" t="s">
        <v>1196</v>
      </c>
    </row>
    <row r="24" customFormat="false" ht="15" hidden="false" customHeight="false" outlineLevel="0" collapsed="false">
      <c r="A24" s="8" t="s">
        <v>56</v>
      </c>
      <c r="B24" s="8" t="s">
        <v>1201</v>
      </c>
      <c r="C24" s="8" t="s">
        <v>1196</v>
      </c>
    </row>
    <row r="25" customFormat="false" ht="15" hidden="false" customHeight="false" outlineLevel="0" collapsed="false">
      <c r="A25" s="8"/>
      <c r="B25" s="8"/>
      <c r="C25" s="8"/>
    </row>
    <row r="26" customFormat="false" ht="23.85" hidden="false" customHeight="false" outlineLevel="0" collapsed="false">
      <c r="A26" s="8" t="s">
        <v>1202</v>
      </c>
      <c r="B26" s="8" t="s">
        <v>1203</v>
      </c>
      <c r="C26" s="8"/>
    </row>
    <row r="27" customFormat="false" ht="23.85" hidden="false" customHeight="false" outlineLevel="0" collapsed="false">
      <c r="A27" s="8" t="s">
        <v>1204</v>
      </c>
      <c r="B27" s="8" t="s">
        <v>1205</v>
      </c>
      <c r="C27" s="8"/>
    </row>
    <row r="28" customFormat="false" ht="35.05" hidden="false" customHeight="false" outlineLevel="0" collapsed="false">
      <c r="A28" s="8" t="s">
        <v>1206</v>
      </c>
      <c r="B28" s="8" t="s">
        <v>1207</v>
      </c>
      <c r="C2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2026-10-24T14:31:17Z</dcterms:created>
  <dc:creator>openpyxl</dc:creator>
  <dc:description/>
  <dc:language>en-US</dc:language>
  <cp:lastModifiedBy/>
  <dcterms:modified xsi:type="dcterms:W3CDTF">2026-10-24T14:31:17Z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